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aiba Farid\Desktop\BBD 3\Business Finance\Project\"/>
    </mc:Choice>
  </mc:AlternateContent>
  <xr:revisionPtr revIDLastSave="0" documentId="13_ncr:1_{281C1C9E-C4E4-4AA9-9D3A-D12F3FA7245A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STATEMENT" sheetId="2" r:id="rId1"/>
    <sheet name="RATIOS" sheetId="3" r:id="rId2"/>
    <sheet name="ANALYSIS" sheetId="4" r:id="rId3"/>
    <sheet name="S.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5" l="1"/>
  <c r="O51" i="4"/>
  <c r="P51" i="4"/>
  <c r="O52" i="4"/>
  <c r="P52" i="4"/>
  <c r="O53" i="4"/>
  <c r="P53" i="4"/>
  <c r="O54" i="4"/>
  <c r="P54" i="4"/>
  <c r="O55" i="4"/>
  <c r="P55" i="4"/>
  <c r="O56" i="4"/>
  <c r="P56" i="4"/>
  <c r="O57" i="4"/>
  <c r="P57" i="4"/>
  <c r="O58" i="4"/>
  <c r="P58" i="4"/>
  <c r="O59" i="4"/>
  <c r="P59" i="4"/>
  <c r="O60" i="4"/>
  <c r="P60" i="4"/>
  <c r="O61" i="4"/>
  <c r="P61" i="4"/>
  <c r="O62" i="4"/>
  <c r="P62" i="4"/>
  <c r="O63" i="4"/>
  <c r="P63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O38" i="4"/>
  <c r="P38" i="4"/>
  <c r="O39" i="4"/>
  <c r="P39" i="4"/>
  <c r="O40" i="4"/>
  <c r="P40" i="4"/>
  <c r="O41" i="4"/>
  <c r="P41" i="4"/>
  <c r="O42" i="4"/>
  <c r="P42" i="4"/>
  <c r="N42" i="4"/>
  <c r="N41" i="4"/>
  <c r="N40" i="4"/>
  <c r="N39" i="4"/>
  <c r="N38" i="4"/>
  <c r="O29" i="4"/>
  <c r="P29" i="4"/>
  <c r="O30" i="4"/>
  <c r="P30" i="4"/>
  <c r="O31" i="4"/>
  <c r="P31" i="4"/>
  <c r="O33" i="4"/>
  <c r="P33" i="4"/>
  <c r="O34" i="4"/>
  <c r="P34" i="4"/>
  <c r="O35" i="4"/>
  <c r="P35" i="4"/>
  <c r="O36" i="4"/>
  <c r="P36" i="4"/>
  <c r="N36" i="4"/>
  <c r="N35" i="4"/>
  <c r="N34" i="4"/>
  <c r="N33" i="4"/>
  <c r="N31" i="4"/>
  <c r="N30" i="4"/>
  <c r="N29" i="4"/>
  <c r="O15" i="4"/>
  <c r="P15" i="4"/>
  <c r="O16" i="4"/>
  <c r="P16" i="4"/>
  <c r="O17" i="4"/>
  <c r="P17" i="4"/>
  <c r="O18" i="4"/>
  <c r="P18" i="4"/>
  <c r="O19" i="4"/>
  <c r="P19" i="4"/>
  <c r="O20" i="4"/>
  <c r="P20" i="4"/>
  <c r="O21" i="4"/>
  <c r="P21" i="4"/>
  <c r="O22" i="4"/>
  <c r="P22" i="4"/>
  <c r="O24" i="4"/>
  <c r="P24" i="4"/>
  <c r="O25" i="4"/>
  <c r="P25" i="4"/>
  <c r="O26" i="4"/>
  <c r="P26" i="4"/>
  <c r="N26" i="4"/>
  <c r="N25" i="4"/>
  <c r="N24" i="4"/>
  <c r="N22" i="4"/>
  <c r="N21" i="4"/>
  <c r="N20" i="4"/>
  <c r="N19" i="4"/>
  <c r="N18" i="4"/>
  <c r="N17" i="4"/>
  <c r="N16" i="4"/>
  <c r="N15" i="4"/>
  <c r="O9" i="4"/>
  <c r="P9" i="4"/>
  <c r="O10" i="4"/>
  <c r="P10" i="4"/>
  <c r="O11" i="4"/>
  <c r="P11" i="4"/>
  <c r="O12" i="4"/>
  <c r="P12" i="4"/>
  <c r="O13" i="4"/>
  <c r="P13" i="4"/>
  <c r="N13" i="4"/>
  <c r="N12" i="4"/>
  <c r="N11" i="4"/>
  <c r="N10" i="4"/>
  <c r="N9" i="4"/>
  <c r="O8" i="4"/>
  <c r="P8" i="4"/>
  <c r="N8" i="4"/>
  <c r="H57" i="4"/>
  <c r="H52" i="4"/>
  <c r="H53" i="4"/>
  <c r="H54" i="4"/>
  <c r="H55" i="4"/>
  <c r="H56" i="4"/>
  <c r="H58" i="4"/>
  <c r="H59" i="4"/>
  <c r="H60" i="4"/>
  <c r="H61" i="4"/>
  <c r="H62" i="4"/>
  <c r="H63" i="4"/>
  <c r="H51" i="4"/>
  <c r="G52" i="4"/>
  <c r="G53" i="4"/>
  <c r="G54" i="4"/>
  <c r="G55" i="4"/>
  <c r="G56" i="4"/>
  <c r="G57" i="4"/>
  <c r="G58" i="4"/>
  <c r="G59" i="4"/>
  <c r="G60" i="4"/>
  <c r="G61" i="4"/>
  <c r="G62" i="4"/>
  <c r="G63" i="4"/>
  <c r="G51" i="4"/>
  <c r="F52" i="4"/>
  <c r="F53" i="4"/>
  <c r="F54" i="4"/>
  <c r="F55" i="4"/>
  <c r="F56" i="4"/>
  <c r="F57" i="4"/>
  <c r="F58" i="4"/>
  <c r="F59" i="4"/>
  <c r="F60" i="4"/>
  <c r="F61" i="4"/>
  <c r="F62" i="4"/>
  <c r="F63" i="4"/>
  <c r="F51" i="4"/>
  <c r="H9" i="4"/>
  <c r="H10" i="4"/>
  <c r="H11" i="4"/>
  <c r="H12" i="4"/>
  <c r="H13" i="4"/>
  <c r="H15" i="4"/>
  <c r="H16" i="4"/>
  <c r="H17" i="4"/>
  <c r="H18" i="4"/>
  <c r="H19" i="4"/>
  <c r="H20" i="4"/>
  <c r="H21" i="4"/>
  <c r="H22" i="4"/>
  <c r="H23" i="4"/>
  <c r="H24" i="4"/>
  <c r="H25" i="4"/>
  <c r="H26" i="4"/>
  <c r="H29" i="4"/>
  <c r="H30" i="4"/>
  <c r="H31" i="4"/>
  <c r="H33" i="4"/>
  <c r="H34" i="4"/>
  <c r="H35" i="4"/>
  <c r="H36" i="4"/>
  <c r="H38" i="4"/>
  <c r="H39" i="4"/>
  <c r="H41" i="4"/>
  <c r="H42" i="4"/>
  <c r="H8" i="4"/>
  <c r="G9" i="4"/>
  <c r="G10" i="4"/>
  <c r="G11" i="4"/>
  <c r="G12" i="4"/>
  <c r="G13" i="4"/>
  <c r="G15" i="4"/>
  <c r="G16" i="4"/>
  <c r="G17" i="4"/>
  <c r="G18" i="4"/>
  <c r="G19" i="4"/>
  <c r="G20" i="4"/>
  <c r="G21" i="4"/>
  <c r="G22" i="4"/>
  <c r="G24" i="4"/>
  <c r="G25" i="4"/>
  <c r="G26" i="4"/>
  <c r="G29" i="4"/>
  <c r="G30" i="4"/>
  <c r="G31" i="4"/>
  <c r="G33" i="4"/>
  <c r="G34" i="4"/>
  <c r="G35" i="4"/>
  <c r="G36" i="4"/>
  <c r="G38" i="4"/>
  <c r="G39" i="4"/>
  <c r="G40" i="4"/>
  <c r="G41" i="4"/>
  <c r="G42" i="4"/>
  <c r="G8" i="4"/>
  <c r="F9" i="4"/>
  <c r="F10" i="4"/>
  <c r="F11" i="4"/>
  <c r="F12" i="4"/>
  <c r="F13" i="4"/>
  <c r="F15" i="4"/>
  <c r="F16" i="4"/>
  <c r="F17" i="4"/>
  <c r="F18" i="4"/>
  <c r="F19" i="4"/>
  <c r="F20" i="4"/>
  <c r="F21" i="4"/>
  <c r="F22" i="4"/>
  <c r="F24" i="4"/>
  <c r="F25" i="4"/>
  <c r="F26" i="4"/>
  <c r="F29" i="4"/>
  <c r="F30" i="4"/>
  <c r="F31" i="4"/>
  <c r="F33" i="4"/>
  <c r="F34" i="4"/>
  <c r="F35" i="4"/>
  <c r="F36" i="4"/>
  <c r="F38" i="4"/>
  <c r="F39" i="4"/>
  <c r="F40" i="4"/>
  <c r="F41" i="4"/>
  <c r="F42" i="4"/>
  <c r="F8" i="4"/>
  <c r="E29" i="3" l="1"/>
  <c r="D29" i="3"/>
  <c r="K7" i="3"/>
  <c r="Q5" i="3"/>
  <c r="Q6" i="3" s="1"/>
  <c r="P6" i="3"/>
  <c r="P7" i="3" s="1"/>
  <c r="O6" i="3"/>
  <c r="O7" i="3" s="1"/>
  <c r="N6" i="3"/>
  <c r="N7" i="3" s="1"/>
  <c r="J4" i="5"/>
  <c r="J5" i="5"/>
  <c r="J6" i="5"/>
  <c r="J7" i="5"/>
  <c r="J8" i="5"/>
  <c r="J9" i="5"/>
  <c r="K9" i="5" s="1"/>
  <c r="J10" i="5"/>
  <c r="K10" i="5" s="1"/>
  <c r="J11" i="5"/>
  <c r="K11" i="5" s="1"/>
  <c r="J12" i="5"/>
  <c r="K12" i="5" s="1"/>
  <c r="J13" i="5"/>
  <c r="K13" i="5" s="1"/>
  <c r="J14" i="5"/>
  <c r="K14" i="5" s="1"/>
  <c r="J15" i="5"/>
  <c r="K15" i="5" s="1"/>
  <c r="J16" i="5"/>
  <c r="J17" i="5"/>
  <c r="J18" i="5"/>
  <c r="J19" i="5"/>
  <c r="J20" i="5"/>
  <c r="J21" i="5"/>
  <c r="J22" i="5"/>
  <c r="J23" i="5"/>
  <c r="K23" i="5" s="1"/>
  <c r="J24" i="5"/>
  <c r="K24" i="5" s="1"/>
  <c r="J25" i="5"/>
  <c r="K25" i="5" s="1"/>
  <c r="J26" i="5"/>
  <c r="K26" i="5" s="1"/>
  <c r="J27" i="5"/>
  <c r="K27" i="5" s="1"/>
  <c r="J28" i="5"/>
  <c r="J29" i="5"/>
  <c r="J30" i="5"/>
  <c r="J31" i="5"/>
  <c r="J32" i="5"/>
  <c r="J33" i="5"/>
  <c r="J34" i="5"/>
  <c r="J35" i="5"/>
  <c r="K35" i="5" s="1"/>
  <c r="J36" i="5"/>
  <c r="K36" i="5" s="1"/>
  <c r="J37" i="5"/>
  <c r="K37" i="5" s="1"/>
  <c r="J38" i="5"/>
  <c r="K38" i="5" s="1"/>
  <c r="J39" i="5"/>
  <c r="K39" i="5" s="1"/>
  <c r="J40" i="5"/>
  <c r="J41" i="5"/>
  <c r="J3" i="5"/>
  <c r="I52" i="5"/>
  <c r="K16" i="5"/>
  <c r="K17" i="5"/>
  <c r="K18" i="5"/>
  <c r="K19" i="5"/>
  <c r="K20" i="5"/>
  <c r="K21" i="5"/>
  <c r="K22" i="5"/>
  <c r="K28" i="5"/>
  <c r="K29" i="5"/>
  <c r="K30" i="5"/>
  <c r="K31" i="5"/>
  <c r="K32" i="5"/>
  <c r="K33" i="5"/>
  <c r="K34" i="5"/>
  <c r="K40" i="5"/>
  <c r="K41" i="5"/>
  <c r="K4" i="5"/>
  <c r="K5" i="5"/>
  <c r="K6" i="5"/>
  <c r="K7" i="5"/>
  <c r="K8" i="5"/>
  <c r="K3" i="5"/>
  <c r="I48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3" i="5"/>
  <c r="P4" i="3"/>
  <c r="P5" i="3" s="1"/>
  <c r="O4" i="3"/>
  <c r="O5" i="3" s="1"/>
  <c r="N4" i="3"/>
  <c r="N5" i="3" s="1"/>
  <c r="P12" i="3"/>
  <c r="O12" i="3"/>
  <c r="N12" i="3"/>
  <c r="O8" i="3"/>
  <c r="O9" i="3" s="1"/>
  <c r="N8" i="3"/>
  <c r="N9" i="3" s="1"/>
  <c r="P8" i="3"/>
  <c r="P9" i="3" s="1"/>
  <c r="I51" i="5"/>
  <c r="H37" i="3"/>
  <c r="J8" i="3"/>
  <c r="I8" i="3"/>
  <c r="H8" i="3"/>
  <c r="J7" i="3"/>
  <c r="I7" i="3"/>
  <c r="H7" i="3"/>
  <c r="H5" i="3"/>
  <c r="I6" i="3"/>
  <c r="H6" i="3"/>
  <c r="J6" i="3"/>
  <c r="J5" i="3"/>
  <c r="I5" i="3"/>
  <c r="J37" i="3"/>
  <c r="I37" i="3"/>
  <c r="J38" i="3"/>
  <c r="I38" i="3"/>
  <c r="H38" i="3"/>
  <c r="C29" i="3"/>
  <c r="B29" i="3"/>
  <c r="D6" i="3"/>
  <c r="C6" i="3"/>
  <c r="B6" i="3"/>
  <c r="D5" i="3"/>
  <c r="C5" i="3"/>
  <c r="B5" i="3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" i="5"/>
  <c r="C5" i="5"/>
  <c r="C6" i="5"/>
  <c r="C7" i="5"/>
  <c r="C8" i="5"/>
  <c r="C3" i="5"/>
  <c r="C51" i="5"/>
  <c r="C48" i="5"/>
  <c r="D4" i="5" s="1"/>
  <c r="E4" i="5" s="1"/>
  <c r="P10" i="3" l="1"/>
  <c r="P11" i="3" s="1"/>
  <c r="O10" i="3"/>
  <c r="O11" i="3" s="1"/>
  <c r="N10" i="3"/>
  <c r="N11" i="3" s="1"/>
  <c r="K42" i="5"/>
  <c r="I49" i="5" s="1"/>
  <c r="D16" i="5"/>
  <c r="E16" i="5" s="1"/>
  <c r="D17" i="5"/>
  <c r="E17" i="5" s="1"/>
  <c r="D21" i="5"/>
  <c r="E21" i="5" s="1"/>
  <c r="D22" i="5"/>
  <c r="E22" i="5" s="1"/>
  <c r="D23" i="5"/>
  <c r="E23" i="5" s="1"/>
  <c r="D9" i="5"/>
  <c r="E9" i="5" s="1"/>
  <c r="D26" i="5"/>
  <c r="E26" i="5" s="1"/>
  <c r="D10" i="5"/>
  <c r="E10" i="5" s="1"/>
  <c r="D11" i="5"/>
  <c r="E11" i="5" s="1"/>
  <c r="D28" i="5"/>
  <c r="E28" i="5" s="1"/>
  <c r="D29" i="5"/>
  <c r="E29" i="5" s="1"/>
  <c r="D12" i="5"/>
  <c r="E12" i="5" s="1"/>
  <c r="D13" i="5"/>
  <c r="E13" i="5" s="1"/>
  <c r="D30" i="5"/>
  <c r="E30" i="5" s="1"/>
  <c r="D33" i="5"/>
  <c r="E33" i="5" s="1"/>
  <c r="D34" i="5"/>
  <c r="E34" i="5" s="1"/>
  <c r="D35" i="5"/>
  <c r="E35" i="5" s="1"/>
  <c r="D14" i="5"/>
  <c r="E14" i="5" s="1"/>
  <c r="D15" i="5"/>
  <c r="E15" i="5" s="1"/>
  <c r="D36" i="5"/>
  <c r="E36" i="5" s="1"/>
  <c r="D37" i="5"/>
  <c r="E37" i="5" s="1"/>
  <c r="D38" i="5"/>
  <c r="E38" i="5" s="1"/>
  <c r="D39" i="5"/>
  <c r="E39" i="5" s="1"/>
  <c r="D40" i="5"/>
  <c r="E40" i="5" s="1"/>
  <c r="D27" i="5"/>
  <c r="E27" i="5" s="1"/>
  <c r="D41" i="5"/>
  <c r="E41" i="5" s="1"/>
  <c r="D18" i="5"/>
  <c r="E18" i="5" s="1"/>
  <c r="D42" i="5"/>
  <c r="E42" i="5" s="1"/>
  <c r="D7" i="5"/>
  <c r="E7" i="5" s="1"/>
  <c r="D19" i="5"/>
  <c r="E19" i="5" s="1"/>
  <c r="D24" i="5"/>
  <c r="E24" i="5" s="1"/>
  <c r="D31" i="5"/>
  <c r="E31" i="5" s="1"/>
  <c r="D43" i="5"/>
  <c r="E43" i="5" s="1"/>
  <c r="D8" i="5"/>
  <c r="E8" i="5" s="1"/>
  <c r="D20" i="5"/>
  <c r="E20" i="5" s="1"/>
  <c r="D25" i="5"/>
  <c r="E25" i="5" s="1"/>
  <c r="D32" i="5"/>
  <c r="E32" i="5" s="1"/>
  <c r="D44" i="5"/>
  <c r="E44" i="5" s="1"/>
  <c r="D5" i="5"/>
  <c r="E5" i="5" s="1"/>
  <c r="D6" i="5"/>
  <c r="E6" i="5" s="1"/>
  <c r="D3" i="5"/>
  <c r="E3" i="5" s="1"/>
  <c r="E45" i="5" l="1"/>
  <c r="C49" i="5" s="1"/>
  <c r="C50" i="5" s="1"/>
  <c r="C52" i="5" s="1"/>
</calcChain>
</file>

<file path=xl/sharedStrings.xml><?xml version="1.0" encoding="utf-8"?>
<sst xmlns="http://schemas.openxmlformats.org/spreadsheetml/2006/main" count="348" uniqueCount="189">
  <si>
    <t>Category</t>
  </si>
  <si>
    <t>Reserves</t>
  </si>
  <si>
    <t>Current Liabilities</t>
  </si>
  <si>
    <t>Property, plant &amp; equipment</t>
  </si>
  <si>
    <t>Current Assets</t>
  </si>
  <si>
    <t>Trade debts</t>
  </si>
  <si>
    <t xml:space="preserve">Statement of Financial Position </t>
  </si>
  <si>
    <t xml:space="preserve">Statement of Profit or Loss </t>
  </si>
  <si>
    <t xml:space="preserve">Rupees in thousand </t>
  </si>
  <si>
    <t>Group Memebers</t>
  </si>
  <si>
    <t>FA23-BBD-060</t>
  </si>
  <si>
    <t>FA23-BBD-086</t>
  </si>
  <si>
    <t>FA24-BBD-079</t>
  </si>
  <si>
    <t>FA24-BBD-175</t>
  </si>
  <si>
    <t>FA24-BBD-028</t>
  </si>
  <si>
    <t>FA24-BBD-173</t>
  </si>
  <si>
    <t>Iqra Mubeen</t>
  </si>
  <si>
    <t>M. Anas Nasir</t>
  </si>
  <si>
    <t>Laiba Farid</t>
  </si>
  <si>
    <t>Ryaan Amir</t>
  </si>
  <si>
    <t>Aniq Abrar</t>
  </si>
  <si>
    <t>Rohaan Awais</t>
  </si>
  <si>
    <t>Registration Number</t>
  </si>
  <si>
    <t>Liquidity Ratios</t>
  </si>
  <si>
    <t>Current Ratio</t>
  </si>
  <si>
    <t>Acid Test Ratio</t>
  </si>
  <si>
    <t>Atlas Honda Limited</t>
  </si>
  <si>
    <t>Debt to Equity Ratio</t>
  </si>
  <si>
    <t>Debt to Asset Ratio</t>
  </si>
  <si>
    <t>DEBT RATIO</t>
  </si>
  <si>
    <t>Activity Ratio</t>
  </si>
  <si>
    <t>Indus Motors</t>
  </si>
  <si>
    <t>Coverage Ratio</t>
  </si>
  <si>
    <t>Interest Coverage Ratio</t>
  </si>
  <si>
    <t>Common Size Analysis</t>
  </si>
  <si>
    <t>Statement of Financial Position</t>
  </si>
  <si>
    <t>Regular in PKR</t>
  </si>
  <si>
    <t>Common size (%)</t>
  </si>
  <si>
    <t>Index Analysis</t>
  </si>
  <si>
    <t>Indexed (%)</t>
  </si>
  <si>
    <t>Statement of Profit &amp; Loss</t>
  </si>
  <si>
    <t>DATE</t>
  </si>
  <si>
    <t>CLOSE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</si>
  <si>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</si>
  <si>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</si>
  <si>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</si>
  <si>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</si>
  <si>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</si>
  <si>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</si>
  <si>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</si>
  <si>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22,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</si>
  <si>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</si>
  <si>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</si>
  <si>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</si>
  <si>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</si>
  <si>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</si>
  <si>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</si>
  <si>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</si>
  <si>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</si>
  <si>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</si>
  <si>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</si>
  <si>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</si>
  <si>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</si>
  <si>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</si>
  <si>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Oct 2, 2025</t>
  </si>
  <si>
    <t>Oct 1,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</si>
  <si>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</si>
  <si>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</si>
  <si>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</si>
  <si>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</si>
  <si>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</si>
  <si>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</si>
  <si>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</si>
  <si>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</si>
  <si>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t>Nov 14, 2025</t>
  </si>
  <si>
    <t>Nov 13, 2025</t>
  </si>
  <si>
    <t>Nov 12, 2025</t>
  </si>
  <si>
    <t>Nov 11, 2025</t>
  </si>
  <si>
    <t>Nov 10, 2025</t>
  </si>
  <si>
    <t>Nov 7, 2025</t>
  </si>
  <si>
    <t>Nov 6, 2025</t>
  </si>
  <si>
    <t>Nov 5, 2025</t>
  </si>
  <si>
    <t>Nov 4, 2025</t>
  </si>
  <si>
    <t>Nov 3, 2025</t>
  </si>
  <si>
    <t>RETURN</t>
  </si>
  <si>
    <t>Nov 27, 2:34</t>
  </si>
  <si>
    <t>(X-X')^2</t>
  </si>
  <si>
    <t>DEVIATION</t>
  </si>
  <si>
    <t xml:space="preserve">MEAN  </t>
  </si>
  <si>
    <t xml:space="preserve">VARIANCE </t>
  </si>
  <si>
    <t xml:space="preserve">STANDARD DEVIATION </t>
  </si>
  <si>
    <t>S.D BY FORMULA</t>
  </si>
  <si>
    <t xml:space="preserve">C.V </t>
  </si>
  <si>
    <t>Assets</t>
  </si>
  <si>
    <t>Non Current Assets</t>
  </si>
  <si>
    <t>Intangible asset</t>
  </si>
  <si>
    <t>Long term investments</t>
  </si>
  <si>
    <t>Long term loans and advances</t>
  </si>
  <si>
    <t>Long term deposits</t>
  </si>
  <si>
    <t>Total non current assets</t>
  </si>
  <si>
    <t>Stores, spares and loose tools</t>
  </si>
  <si>
    <t>Stock in trade</t>
  </si>
  <si>
    <t>Loans and advances</t>
  </si>
  <si>
    <t>Trade deposits and prepayments</t>
  </si>
  <si>
    <t>Short term investments</t>
  </si>
  <si>
    <t>Accrued mark-up/interest</t>
  </si>
  <si>
    <t>Other receivables</t>
  </si>
  <si>
    <t>Taxation - net</t>
  </si>
  <si>
    <t>Bank balances</t>
  </si>
  <si>
    <t>Total current assets</t>
  </si>
  <si>
    <t>Total assets</t>
  </si>
  <si>
    <t>Equity &amp; Liabilities</t>
  </si>
  <si>
    <t>Equity</t>
  </si>
  <si>
    <t>Share capital</t>
  </si>
  <si>
    <t>Total equity</t>
  </si>
  <si>
    <t>Non Current Liabilities</t>
  </si>
  <si>
    <t>Lease liabilities</t>
  </si>
  <si>
    <t>Staff retirement benefits</t>
  </si>
  <si>
    <t>Deferred taxation</t>
  </si>
  <si>
    <t>Total non current liabilities</t>
  </si>
  <si>
    <t>Current portion of lease liabilities</t>
  </si>
  <si>
    <t>Trade and other payables</t>
  </si>
  <si>
    <t>Total current liabilities</t>
  </si>
  <si>
    <t>Total equity and liabilities</t>
  </si>
  <si>
    <t>As at March 31, 2025</t>
  </si>
  <si>
    <t>Particulars</t>
  </si>
  <si>
    <t>Sales</t>
  </si>
  <si>
    <t>Cost of sales</t>
  </si>
  <si>
    <t>Gross Profit</t>
  </si>
  <si>
    <t>Sales and marketing expenses</t>
  </si>
  <si>
    <t>Administrative expenses</t>
  </si>
  <si>
    <t>Other income</t>
  </si>
  <si>
    <t>Other operating expenses</t>
  </si>
  <si>
    <t>Share of profit of an Associated Company - net of tax</t>
  </si>
  <si>
    <t>Profit from operations</t>
  </si>
  <si>
    <t>Finance cost</t>
  </si>
  <si>
    <t>Profit before taxation</t>
  </si>
  <si>
    <t>Taxation and Levies</t>
  </si>
  <si>
    <t>Profit after taxation</t>
  </si>
  <si>
    <t>2025</t>
  </si>
  <si>
    <t>closing stock</t>
  </si>
  <si>
    <t>opening stock</t>
  </si>
  <si>
    <t>Closing stock of finished goods</t>
  </si>
  <si>
    <t>Opening stock of finished goods</t>
  </si>
  <si>
    <t>For the year ended March 31, 2025</t>
  </si>
  <si>
    <t>ebit</t>
  </si>
  <si>
    <t>receivables</t>
  </si>
  <si>
    <t>inven</t>
  </si>
  <si>
    <t>gross profit margin</t>
  </si>
  <si>
    <t>net profit margin</t>
  </si>
  <si>
    <t>return on investment (ROI)</t>
  </si>
  <si>
    <t>Return on Equity (ROE)</t>
  </si>
  <si>
    <t>Total asset turnover</t>
  </si>
  <si>
    <t>The receivable turnover (RT)</t>
  </si>
  <si>
    <t>Receivable turnover in days (RTD)</t>
  </si>
  <si>
    <t>payable turnover in days (PTD)</t>
  </si>
  <si>
    <t>inventory turnover (IT)</t>
  </si>
  <si>
    <t>inventory turnover in days (ITD)</t>
  </si>
  <si>
    <t>operating cycle</t>
  </si>
  <si>
    <t>cash cycle</t>
  </si>
  <si>
    <t>ATLAS HONDA LIMITED</t>
  </si>
  <si>
    <t>Profitability Ratios</t>
  </si>
  <si>
    <t>Shareholders’ Equity = Share Capital + Reserves</t>
  </si>
  <si>
    <t>Total liabilities = Total equity &amp; liabilities – total equity</t>
  </si>
  <si>
    <t>Nov 24,2025</t>
  </si>
  <si>
    <t>Nov 21,2025</t>
  </si>
  <si>
    <t>Nov 20,2025</t>
  </si>
  <si>
    <t>Nov 19,2025</t>
  </si>
  <si>
    <t>Nov 18,2025</t>
  </si>
  <si>
    <t>Nov 17,2025</t>
  </si>
  <si>
    <t>Nov 14,2025</t>
  </si>
  <si>
    <t>Nov 13,2025</t>
  </si>
  <si>
    <t>Nov 12,2025</t>
  </si>
  <si>
    <t>Nov 11,2025</t>
  </si>
  <si>
    <t>Nov 10,2025</t>
  </si>
  <si>
    <t xml:space="preserve">INDUS MOTORS </t>
  </si>
  <si>
    <t>net sales/ trade debts</t>
  </si>
  <si>
    <t>Cost of Sales / Average Inventory</t>
  </si>
  <si>
    <t>Net Sales / Total Assets</t>
  </si>
  <si>
    <t>EBIT/INTEREST EXP(financial cost)</t>
  </si>
  <si>
    <t xml:space="preserve">current assets/ current libilitties </t>
  </si>
  <si>
    <t>(current asset - inventory)/current libilties</t>
  </si>
  <si>
    <t>365/IT</t>
  </si>
  <si>
    <t>365/RT</t>
  </si>
  <si>
    <t>365/PT</t>
  </si>
  <si>
    <t>Payables Turnover</t>
  </si>
  <si>
    <t>cost of Sales /trade and other payable</t>
  </si>
  <si>
    <t>RTD+ITD</t>
  </si>
  <si>
    <t>Operating Cycle−PTD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</si>
</sst>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Aptos"/>
      <family val="2"/>
    </font>
    <font>
      <sz val="16"/>
      <color theme="1"/>
      <name val="Aptos"/>
      <family val="2"/>
    </font>
    <font>
      <b/>
      <sz val="12"/>
      <color theme="1"/>
      <name val="Aptos"/>
      <family val="2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rgb="FF333333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5" fillId="0" borderId="1" xfId="0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vertical="center"/>
    </xf>
    <xf numFmtId="10" fontId="0" fillId="0" borderId="0" xfId="0" applyNumberFormat="1"/>
    <xf numFmtId="0" fontId="6" fillId="2" borderId="0" xfId="0" applyFont="1" applyFill="1"/>
    <xf numFmtId="10" fontId="0" fillId="0" borderId="1" xfId="0" applyNumberFormat="1" applyBorder="1"/>
    <xf numFmtId="0" fontId="0" fillId="0" borderId="1" xfId="0" applyBorder="1"/>
    <xf numFmtId="0" fontId="5" fillId="9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4" fontId="0" fillId="0" borderId="1" xfId="0" applyNumberFormat="1" applyBorder="1"/>
    <xf numFmtId="0" fontId="7" fillId="0" borderId="1" xfId="0" applyFont="1" applyBorder="1" applyAlignment="1">
      <alignment horizontal="center" vertical="center"/>
    </xf>
    <xf numFmtId="3" fontId="0" fillId="0" borderId="0" xfId="0" applyNumberFormat="1"/>
    <xf numFmtId="0" fontId="1" fillId="0" borderId="1" xfId="0" applyFont="1" applyBorder="1"/>
    <xf numFmtId="0" fontId="1" fillId="10" borderId="1" xfId="0" applyFont="1" applyFill="1" applyBorder="1"/>
    <xf numFmtId="0" fontId="1" fillId="8" borderId="1" xfId="0" applyFont="1" applyFill="1" applyBorder="1"/>
    <xf numFmtId="3" fontId="0" fillId="0" borderId="1" xfId="0" applyNumberFormat="1" applyBorder="1"/>
    <xf numFmtId="3" fontId="0" fillId="8" borderId="1" xfId="0" applyNumberFormat="1" applyFill="1" applyBorder="1"/>
    <xf numFmtId="3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11" borderId="1" xfId="0" applyFont="1" applyFill="1" applyBorder="1"/>
    <xf numFmtId="3" fontId="0" fillId="11" borderId="1" xfId="0" applyNumberFormat="1" applyFill="1" applyBorder="1"/>
    <xf numFmtId="0" fontId="2" fillId="0" borderId="1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4" fontId="1" fillId="0" borderId="1" xfId="0" applyNumberFormat="1" applyFont="1" applyBorder="1"/>
    <xf numFmtId="14" fontId="10" fillId="13" borderId="1" xfId="0" applyNumberFormat="1" applyFont="1" applyFill="1" applyBorder="1" applyAlignment="1">
      <alignment horizontal="center" vertical="center" wrapText="1"/>
    </xf>
    <xf numFmtId="4" fontId="10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14" borderId="0" xfId="0" applyNumberFormat="1" applyFont="1" applyFill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" fontId="1" fillId="14" borderId="1" xfId="0" applyNumberFormat="1" applyFont="1" applyFill="1" applyBorder="1" applyAlignment="1">
      <alignment horizontal="center" vertical="center"/>
    </xf>
    <xf numFmtId="4" fontId="1" fillId="11" borderId="1" xfId="0" applyNumberFormat="1" applyFont="1" applyFill="1" applyBorder="1"/>
    <xf numFmtId="4" fontId="0" fillId="8" borderId="1" xfId="0" applyNumberFormat="1" applyFill="1" applyBorder="1"/>
    <xf numFmtId="4" fontId="1" fillId="8" borderId="1" xfId="0" applyNumberFormat="1" applyFont="1" applyFill="1" applyBorder="1"/>
    <xf numFmtId="4" fontId="0" fillId="11" borderId="1" xfId="0" applyNumberForma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8" fillId="1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8" fillId="15" borderId="16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RATIOS!$A$5</c:f>
              <c:strCache>
                <c:ptCount val="1"/>
                <c:pt idx="0">
                  <c:v>Current Ratio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RATIOS!$B$3:$E$4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RATIOS!$B$5:$E$5</c:f>
              <c:numCache>
                <c:formatCode>0.00</c:formatCode>
                <c:ptCount val="4"/>
                <c:pt idx="0">
                  <c:v>1.2497691809970746</c:v>
                </c:pt>
                <c:pt idx="1">
                  <c:v>1.3891387094346248</c:v>
                </c:pt>
                <c:pt idx="2">
                  <c:v>1.5141957086120552</c:v>
                </c:pt>
                <c:pt idx="3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5-4DC9-9AB1-453E5DD8DDE8}"/>
            </c:ext>
          </c:extLst>
        </c:ser>
        <c:ser>
          <c:idx val="1"/>
          <c:order val="1"/>
          <c:tx>
            <c:strRef>
              <c:f>RATIOS!$A$6</c:f>
              <c:strCache>
                <c:ptCount val="1"/>
                <c:pt idx="0">
                  <c:v>Acid Test Ratio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RATIOS!$B$3:$E$4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RATIOS!$B$6:$E$6</c:f>
              <c:numCache>
                <c:formatCode>0.00</c:formatCode>
                <c:ptCount val="4"/>
                <c:pt idx="0">
                  <c:v>1.0754227689002727</c:v>
                </c:pt>
                <c:pt idx="1">
                  <c:v>1.1769541081339623</c:v>
                </c:pt>
                <c:pt idx="2">
                  <c:v>1.3432220110368793</c:v>
                </c:pt>
                <c:pt idx="3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5-4DC9-9AB1-453E5DD8DD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115663"/>
        <c:axId val="166296271"/>
      </c:barChart>
      <c:catAx>
        <c:axId val="5411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6271"/>
        <c:crosses val="autoZero"/>
        <c:auto val="1"/>
        <c:lblAlgn val="ctr"/>
        <c:lblOffset val="100"/>
        <c:noMultiLvlLbl val="0"/>
      </c:catAx>
      <c:valAx>
        <c:axId val="16629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1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RATIOS!$G$37</c:f>
              <c:strCache>
                <c:ptCount val="1"/>
                <c:pt idx="0">
                  <c:v>Debt to Equity Ratio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RATIOS!$H$34:$K$36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RATIOS!$H$37:$K$37</c:f>
              <c:numCache>
                <c:formatCode>0.00</c:formatCode>
                <c:ptCount val="4"/>
                <c:pt idx="0">
                  <c:v>2.0745287674569144</c:v>
                </c:pt>
                <c:pt idx="1">
                  <c:v>1.639908606806505</c:v>
                </c:pt>
                <c:pt idx="2">
                  <c:v>1.4019673489237743</c:v>
                </c:pt>
                <c:pt idx="3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0-4E9A-90A2-FE847ABB9A5F}"/>
            </c:ext>
          </c:extLst>
        </c:ser>
        <c:ser>
          <c:idx val="1"/>
          <c:order val="1"/>
          <c:tx>
            <c:strRef>
              <c:f>RATIOS!$G$38</c:f>
              <c:strCache>
                <c:ptCount val="1"/>
                <c:pt idx="0">
                  <c:v>Debt to Asset Ratio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RATIOS!$H$34:$K$36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RATIOS!$H$38:$K$38</c:f>
              <c:numCache>
                <c:formatCode>0.00</c:formatCode>
                <c:ptCount val="4"/>
                <c:pt idx="0">
                  <c:v>0.6556041115465614</c:v>
                </c:pt>
                <c:pt idx="1">
                  <c:v>0.59709533975757034</c:v>
                </c:pt>
                <c:pt idx="2">
                  <c:v>0.56047485672610942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0-4E9A-90A2-FE847ABB9A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25729039"/>
        <c:axId val="1625728079"/>
      </c:barChart>
      <c:catAx>
        <c:axId val="162572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5728079"/>
        <c:crosses val="autoZero"/>
        <c:auto val="1"/>
        <c:lblAlgn val="ctr"/>
        <c:lblOffset val="100"/>
        <c:noMultiLvlLbl val="0"/>
      </c:catAx>
      <c:valAx>
        <c:axId val="16257280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62572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</a:t>
            </a:r>
            <a:r>
              <a:rPr lang="en-US" baseline="0"/>
              <a:t> RATIO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RATIOS!$N$1:$N$3</c:f>
              <c:strCache>
                <c:ptCount val="3"/>
                <c:pt idx="0">
                  <c:v>Activity Ratio</c:v>
                </c:pt>
                <c:pt idx="1">
                  <c:v>Atlas Honda Limited</c:v>
                </c:pt>
                <c:pt idx="2">
                  <c:v>2023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RATIOS!$M$4:$M$12</c:f>
              <c:strCache>
                <c:ptCount val="9"/>
                <c:pt idx="0">
                  <c:v>The receivable turnover (RT)</c:v>
                </c:pt>
                <c:pt idx="1">
                  <c:v>Receivable turnover in days (RTD)</c:v>
                </c:pt>
                <c:pt idx="2">
                  <c:v>Payables Turnover</c:v>
                </c:pt>
                <c:pt idx="3">
                  <c:v>payable turnover in days (PTD)</c:v>
                </c:pt>
                <c:pt idx="4">
                  <c:v>inventory turnover (IT)</c:v>
                </c:pt>
                <c:pt idx="5">
                  <c:v>inventory turnover in days (ITD)</c:v>
                </c:pt>
                <c:pt idx="6">
                  <c:v>operating cycle</c:v>
                </c:pt>
                <c:pt idx="7">
                  <c:v>cash cycle</c:v>
                </c:pt>
                <c:pt idx="8">
                  <c:v>Total asset turnover</c:v>
                </c:pt>
              </c:strCache>
            </c:strRef>
          </c:cat>
          <c:val>
            <c:numRef>
              <c:f>RATIOS!$N$4:$N$12</c:f>
              <c:numCache>
                <c:formatCode>#,##0</c:formatCode>
                <c:ptCount val="9"/>
                <c:pt idx="0" formatCode="#,##0.00">
                  <c:v>169.91310563820102</c:v>
                </c:pt>
                <c:pt idx="1">
                  <c:v>2.1481568395153752</c:v>
                </c:pt>
                <c:pt idx="2" formatCode="#,##0.00">
                  <c:v>2.7462297854588451</c:v>
                </c:pt>
                <c:pt idx="3">
                  <c:v>132.90948992420718</c:v>
                </c:pt>
                <c:pt idx="4" formatCode="#,##0.00">
                  <c:v>14.275048032566668</c:v>
                </c:pt>
                <c:pt idx="5">
                  <c:v>25.569090847701521</c:v>
                </c:pt>
                <c:pt idx="6">
                  <c:v>27.717247687216897</c:v>
                </c:pt>
                <c:pt idx="7">
                  <c:v>-105.19224223699028</c:v>
                </c:pt>
                <c:pt idx="8" formatCode="#,##0.00">
                  <c:v>1.9344705864866532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4-4C98-A2ED-2317487FB8E6}"/>
            </c:ext>
          </c:extLst>
        </c:ser>
        <c:ser>
          <c:idx val="1"/>
          <c:order val="1"/>
          <c:tx>
            <c:strRef>
              <c:f>RATIOS!$O$1:$O$3</c:f>
              <c:strCache>
                <c:ptCount val="3"/>
                <c:pt idx="0">
                  <c:v>Activity Ratio</c:v>
                </c:pt>
                <c:pt idx="1">
                  <c:v>Atlas Honda Limited</c:v>
                </c:pt>
                <c:pt idx="2">
                  <c:v>2024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RATIOS!$M$4:$M$12</c:f>
              <c:strCache>
                <c:ptCount val="9"/>
                <c:pt idx="0">
                  <c:v>The receivable turnover (RT)</c:v>
                </c:pt>
                <c:pt idx="1">
                  <c:v>Receivable turnover in days (RTD)</c:v>
                </c:pt>
                <c:pt idx="2">
                  <c:v>Payables Turnover</c:v>
                </c:pt>
                <c:pt idx="3">
                  <c:v>payable turnover in days (PTD)</c:v>
                </c:pt>
                <c:pt idx="4">
                  <c:v>inventory turnover (IT)</c:v>
                </c:pt>
                <c:pt idx="5">
                  <c:v>inventory turnover in days (ITD)</c:v>
                </c:pt>
                <c:pt idx="6">
                  <c:v>operating cycle</c:v>
                </c:pt>
                <c:pt idx="7">
                  <c:v>cash cycle</c:v>
                </c:pt>
                <c:pt idx="8">
                  <c:v>Total asset turnover</c:v>
                </c:pt>
              </c:strCache>
            </c:strRef>
          </c:cat>
          <c:val>
            <c:numRef>
              <c:f>RATIOS!$O$4:$O$12</c:f>
              <c:numCache>
                <c:formatCode>#,##0</c:formatCode>
                <c:ptCount val="9"/>
                <c:pt idx="0" formatCode="#,##0.00">
                  <c:v>155.87025345563498</c:v>
                </c:pt>
                <c:pt idx="1">
                  <c:v>2.3416911944900969</c:v>
                </c:pt>
                <c:pt idx="2" formatCode="#,##0.00">
                  <c:v>3.3385959913174998</c:v>
                </c:pt>
                <c:pt idx="3">
                  <c:v>109.32739419481577</c:v>
                </c:pt>
                <c:pt idx="4" formatCode="#,##0.00">
                  <c:v>16.686247309044486</c:v>
                </c:pt>
                <c:pt idx="5">
                  <c:v>21.874301227823597</c:v>
                </c:pt>
                <c:pt idx="6">
                  <c:v>24.215992422313693</c:v>
                </c:pt>
                <c:pt idx="7">
                  <c:v>-85.111401772502077</c:v>
                </c:pt>
                <c:pt idx="8" formatCode="#,##0.00">
                  <c:v>2.0975027267878108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4-4C98-A2ED-2317487FB8E6}"/>
            </c:ext>
          </c:extLst>
        </c:ser>
        <c:ser>
          <c:idx val="2"/>
          <c:order val="2"/>
          <c:tx>
            <c:strRef>
              <c:f>RATIOS!$P$1:$P$3</c:f>
              <c:strCache>
                <c:ptCount val="3"/>
                <c:pt idx="0">
                  <c:v>Activity Ratio</c:v>
                </c:pt>
                <c:pt idx="1">
                  <c:v>Atlas Honda Limited</c:v>
                </c:pt>
                <c:pt idx="2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RATIOS!$M$4:$M$12</c:f>
              <c:strCache>
                <c:ptCount val="9"/>
                <c:pt idx="0">
                  <c:v>The receivable turnover (RT)</c:v>
                </c:pt>
                <c:pt idx="1">
                  <c:v>Receivable turnover in days (RTD)</c:v>
                </c:pt>
                <c:pt idx="2">
                  <c:v>Payables Turnover</c:v>
                </c:pt>
                <c:pt idx="3">
                  <c:v>payable turnover in days (PTD)</c:v>
                </c:pt>
                <c:pt idx="4">
                  <c:v>inventory turnover (IT)</c:v>
                </c:pt>
                <c:pt idx="5">
                  <c:v>inventory turnover in days (ITD)</c:v>
                </c:pt>
                <c:pt idx="6">
                  <c:v>operating cycle</c:v>
                </c:pt>
                <c:pt idx="7">
                  <c:v>cash cycle</c:v>
                </c:pt>
                <c:pt idx="8">
                  <c:v>Total asset turnover</c:v>
                </c:pt>
              </c:strCache>
            </c:strRef>
          </c:cat>
          <c:val>
            <c:numRef>
              <c:f>RATIOS!$P$4:$P$12</c:f>
              <c:numCache>
                <c:formatCode>#,##0</c:formatCode>
                <c:ptCount val="9"/>
                <c:pt idx="0" formatCode="#,##0.00">
                  <c:v>81.359713114394324</c:v>
                </c:pt>
                <c:pt idx="1">
                  <c:v>4.4862498407141445</c:v>
                </c:pt>
                <c:pt idx="2" formatCode="#,##0.00">
                  <c:v>3.7160015657916969</c:v>
                </c:pt>
                <c:pt idx="3">
                  <c:v>98.223855275000801</c:v>
                </c:pt>
                <c:pt idx="4" formatCode="#,##0.00">
                  <c:v>20.20025712441965</c:v>
                </c:pt>
                <c:pt idx="5">
                  <c:v>18.069076930647554</c:v>
                </c:pt>
                <c:pt idx="6">
                  <c:v>22.555326771361699</c:v>
                </c:pt>
                <c:pt idx="7">
                  <c:v>-75.668528503639095</c:v>
                </c:pt>
                <c:pt idx="8" formatCode="#,##0.00">
                  <c:v>2.3344473916326889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F4-4C98-A2ED-2317487FB8E6}"/>
            </c:ext>
          </c:extLst>
        </c:ser>
        <c:ser>
          <c:idx val="3"/>
          <c:order val="3"/>
          <c:tx>
            <c:strRef>
              <c:f>RATIOS!$Q$1:$Q$3</c:f>
              <c:strCache>
                <c:ptCount val="3"/>
                <c:pt idx="0">
                  <c:v>Activity Ratio</c:v>
                </c:pt>
                <c:pt idx="1">
                  <c:v>Indus Motors</c:v>
                </c:pt>
                <c:pt idx="2">
                  <c:v>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RATIOS!$M$4:$M$12</c:f>
              <c:strCache>
                <c:ptCount val="9"/>
                <c:pt idx="0">
                  <c:v>The receivable turnover (RT)</c:v>
                </c:pt>
                <c:pt idx="1">
                  <c:v>Receivable turnover in days (RTD)</c:v>
                </c:pt>
                <c:pt idx="2">
                  <c:v>Payables Turnover</c:v>
                </c:pt>
                <c:pt idx="3">
                  <c:v>payable turnover in days (PTD)</c:v>
                </c:pt>
                <c:pt idx="4">
                  <c:v>inventory turnover (IT)</c:v>
                </c:pt>
                <c:pt idx="5">
                  <c:v>inventory turnover in days (ITD)</c:v>
                </c:pt>
                <c:pt idx="6">
                  <c:v>operating cycle</c:v>
                </c:pt>
                <c:pt idx="7">
                  <c:v>cash cycle</c:v>
                </c:pt>
                <c:pt idx="8">
                  <c:v>Total asset turnover</c:v>
                </c:pt>
              </c:strCache>
            </c:strRef>
          </c:cat>
          <c:val>
            <c:numRef>
              <c:f>RATIOS!$Q$4:$Q$12</c:f>
              <c:numCache>
                <c:formatCode>#,##0</c:formatCode>
                <c:ptCount val="9"/>
                <c:pt idx="0" formatCode="#,##0.00">
                  <c:v>13</c:v>
                </c:pt>
                <c:pt idx="1">
                  <c:v>28.076923076923077</c:v>
                </c:pt>
                <c:pt idx="2" formatCode="#,##0.00">
                  <c:v>99.123076923076937</c:v>
                </c:pt>
                <c:pt idx="3">
                  <c:v>127.33</c:v>
                </c:pt>
                <c:pt idx="4" formatCode="#,##0.00">
                  <c:v>8.5</c:v>
                </c:pt>
                <c:pt idx="5">
                  <c:v>43.2</c:v>
                </c:pt>
                <c:pt idx="6">
                  <c:v>170.4</c:v>
                </c:pt>
                <c:pt idx="7">
                  <c:v>43.2</c:v>
                </c:pt>
                <c:pt idx="8" formatCode="#,##0.00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F4-4C98-A2ED-2317487FB8E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6326079"/>
        <c:axId val="496323679"/>
      </c:barChart>
      <c:catAx>
        <c:axId val="49632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23679"/>
        <c:crosses val="autoZero"/>
        <c:auto val="1"/>
        <c:lblAlgn val="ctr"/>
        <c:lblOffset val="100"/>
        <c:noMultiLvlLbl val="0"/>
      </c:catAx>
      <c:valAx>
        <c:axId val="49632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32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RATIOS!$A$29</c:f>
              <c:strCache>
                <c:ptCount val="1"/>
                <c:pt idx="0">
                  <c:v>Interest Coverage Ratio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RATIOS!$B$27:$E$28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RATIOS!$B$29:$E$29</c:f>
              <c:numCache>
                <c:formatCode>0.00</c:formatCode>
                <c:ptCount val="4"/>
                <c:pt idx="0">
                  <c:v>1.0216874699892025</c:v>
                </c:pt>
                <c:pt idx="1">
                  <c:v>1.6463075827630829</c:v>
                </c:pt>
                <c:pt idx="2">
                  <c:v>2.9233222603746709</c:v>
                </c:pt>
                <c:pt idx="3">
                  <c:v>1.0559540846683031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6B-49AC-9DF4-0215449BE6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5802207"/>
        <c:axId val="485805087"/>
      </c:barChart>
      <c:catAx>
        <c:axId val="48580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05087"/>
        <c:crosses val="autoZero"/>
        <c:auto val="1"/>
        <c:lblAlgn val="ctr"/>
        <c:lblOffset val="100"/>
        <c:noMultiLvlLbl val="0"/>
      </c:catAx>
      <c:valAx>
        <c:axId val="485805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48580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RATIOS!$G$5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RATIOS!$H$2:$K$4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RATIOS!$H$5:$K$5</c:f>
              <c:numCache>
                <c:formatCode>0.00%</c:formatCode>
                <c:ptCount val="4"/>
                <c:pt idx="0">
                  <c:v>7.1386016579822048E-2</c:v>
                </c:pt>
                <c:pt idx="1">
                  <c:v>7.1386016579822048E-2</c:v>
                </c:pt>
                <c:pt idx="2">
                  <c:v>7.6759105430058358E-2</c:v>
                </c:pt>
                <c:pt idx="3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5-4023-AB96-130FA5531A65}"/>
            </c:ext>
          </c:extLst>
        </c:ser>
        <c:ser>
          <c:idx val="1"/>
          <c:order val="1"/>
          <c:tx>
            <c:strRef>
              <c:f>RATIOS!$G$6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RATIOS!$H$2:$K$4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RATIOS!$H$6:$K$6</c:f>
              <c:numCache>
                <c:formatCode>0.00%</c:formatCode>
                <c:ptCount val="4"/>
                <c:pt idx="0">
                  <c:v>3.6934944225680812E-2</c:v>
                </c:pt>
                <c:pt idx="1">
                  <c:v>6.094487509494264E-2</c:v>
                </c:pt>
                <c:pt idx="2">
                  <c:v>7.4801525483495529E-2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5-4023-AB96-130FA5531A65}"/>
            </c:ext>
          </c:extLst>
        </c:ser>
        <c:ser>
          <c:idx val="2"/>
          <c:order val="2"/>
          <c:tx>
            <c:strRef>
              <c:f>RATIOS!$G$7</c:f>
              <c:strCache>
                <c:ptCount val="1"/>
                <c:pt idx="0">
                  <c:v>return on investment (ROI)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RATIOS!$H$2:$K$4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RATIOS!$H$7:$K$7</c:f>
              <c:numCache>
                <c:formatCode>0.00%</c:formatCode>
                <c:ptCount val="4"/>
                <c:pt idx="0">
                  <c:v>7.1449563218104584E-2</c:v>
                </c:pt>
                <c:pt idx="1">
                  <c:v>0.12783204169538473</c:v>
                </c:pt>
                <c:pt idx="2">
                  <c:v>0.17462022605509225</c:v>
                </c:pt>
                <c:pt idx="3">
                  <c:v>0.12452840728815767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E5-4023-AB96-130FA5531A65}"/>
            </c:ext>
          </c:extLst>
        </c:ser>
        <c:ser>
          <c:idx val="3"/>
          <c:order val="3"/>
          <c:tx>
            <c:strRef>
              <c:f>RATIOS!$G$8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RATIOS!$H$2:$K$4</c:f>
              <c:multiLvlStrCache>
                <c:ptCount val="4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2025</c:v>
                  </c:pt>
                </c:lvl>
                <c:lvl>
                  <c:pt idx="0">
                    <c:v>Atlas Honda Limited</c:v>
                  </c:pt>
                  <c:pt idx="3">
                    <c:v>Indus Motors</c:v>
                  </c:pt>
                </c:lvl>
              </c:multiLvlStrCache>
            </c:multiLvlStrRef>
          </c:cat>
          <c:val>
            <c:numRef>
              <c:f>RATIOS!$H$8:$K$8</c:f>
              <c:numCache>
                <c:formatCode>0.00%</c:formatCode>
                <c:ptCount val="4"/>
                <c:pt idx="0">
                  <c:v>0.21967373753629399</c:v>
                </c:pt>
                <c:pt idx="1">
                  <c:v>0.33746490709729415</c:v>
                </c:pt>
                <c:pt idx="2">
                  <c:v>0.41943208144602007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E5-4023-AB96-130FA5531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461039"/>
        <c:axId val="1722461519"/>
      </c:barChart>
      <c:catAx>
        <c:axId val="172246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61519"/>
        <c:crosses val="autoZero"/>
        <c:auto val="1"/>
        <c:lblAlgn val="ctr"/>
        <c:lblOffset val="100"/>
        <c:noMultiLvlLbl val="0"/>
      </c:catAx>
      <c:valAx>
        <c:axId val="172246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46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679945</xdr:colOff>
      <xdr:row>9</xdr:row>
      <xdr:rowOff>109011</xdr:rowOff>
    </xdr:from>
    <xdr:to>
      <xdr:col>4</xdr:col>
      <xdr:colOff>750934</xdr:colOff>
      <xdr:row>21</xdr:row>
      <xdr:rowOff>100027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B75B9-AF8D-1E76-1806-57E60B7F8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768583</xdr:colOff>
      <xdr:row>44</xdr:row>
      <xdr:rowOff>84292</xdr:rowOff>
    </xdr:from>
    <xdr:to>
      <xdr:col>11</xdr:col>
      <xdr:colOff>335389</xdr:colOff>
      <xdr:row>58</xdr:row>
      <xdr:rowOff>155846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6E368FB-C7A3-E93B-4340-72F727B0A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840272</xdr:colOff>
      <xdr:row>13</xdr:row>
      <xdr:rowOff>113733</xdr:rowOff>
    </xdr:from>
    <xdr:to>
      <xdr:col>17</xdr:col>
      <xdr:colOff>452672</xdr:colOff>
      <xdr:row>33</xdr:row>
      <xdr:rowOff>113168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AC53AD-0E9F-4B15-2361-2245F9DA3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780585</xdr:colOff>
      <xdr:row>31</xdr:row>
      <xdr:rowOff>92926</xdr:rowOff>
    </xdr:from>
    <xdr:to>
      <xdr:col>4</xdr:col>
      <xdr:colOff>116159</xdr:colOff>
      <xdr:row>44</xdr:row>
      <xdr:rowOff>127774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8EAFDE9-A06E-A187-336B-45BD8A3A5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827048</xdr:colOff>
      <xdr:row>11</xdr:row>
      <xdr:rowOff>109420</xdr:rowOff>
    </xdr:from>
    <xdr:to>
      <xdr:col>11</xdr:col>
      <xdr:colOff>174237</xdr:colOff>
      <xdr:row>29</xdr:row>
      <xdr:rowOff>58078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973C627-031D-D463-A28C-26F082A53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5818-A1C1-474E-8F51-1032220EB681}">
  <dimension ref="A2:J112"/>
  <sheetViews>
    <sheetView tabSelected="1" zoomScale="74" zoomScaleNormal="145" workbookViewId="0">
      <selection activeCell="G32" sqref="G32"/>
    </sheetView>
  </sheetViews>
  <sheetFormatPr defaultColWidth="9.140625" defaultRowHeight="15.75" x14ac:dyDescent="0.25"/>
  <cols>
    <col min="1" max="1" width="11.7109375" style="1" bestFit="1" customWidth="1"/>
    <col min="2" max="2" width="33.140625" style="1" bestFit="1" customWidth="1"/>
    <col min="3" max="3" width="11.7109375" style="1" bestFit="1" customWidth="1"/>
    <col min="4" max="5" width="10.140625" style="1" bestFit="1" customWidth="1"/>
    <col min="6" max="6" width="17.5703125" style="1" bestFit="1" customWidth="1"/>
    <col min="7" max="7" width="63.7109375" style="1" bestFit="1" customWidth="1"/>
    <col min="8" max="8" width="26.5703125" style="1" bestFit="1" customWidth="1"/>
    <col min="9" max="10" width="12.140625" style="1" bestFit="1" customWidth="1"/>
    <col min="11" max="11" width="15.42578125" style="1" bestFit="1" customWidth="1"/>
    <col min="12" max="12" width="9.140625" style="1"/>
    <col min="13" max="13" width="52.140625" style="1" bestFit="1" customWidth="1"/>
    <col min="14" max="15" width="12.140625" style="1" bestFit="1" customWidth="1"/>
    <col min="16" max="16384" width="9.140625" style="1"/>
  </cols>
  <sheetData>
    <row r="2" spans="2:10" ht="20.25" x14ac:dyDescent="0.3">
      <c r="B2" s="67" t="s">
        <v>160</v>
      </c>
      <c r="C2" s="67"/>
      <c r="D2" s="67"/>
      <c r="E2" s="67"/>
    </row>
    <row r="4" spans="2:10" ht="26.25" x14ac:dyDescent="0.4">
      <c r="B4" s="69" t="s">
        <v>6</v>
      </c>
      <c r="C4" s="70"/>
      <c r="D4" s="70"/>
      <c r="E4" s="71"/>
      <c r="G4" s="72" t="s">
        <v>7</v>
      </c>
      <c r="H4" s="72"/>
      <c r="I4" s="72"/>
      <c r="J4" s="72"/>
    </row>
    <row r="5" spans="2:10" ht="21" x14ac:dyDescent="0.35">
      <c r="B5" s="68" t="s">
        <v>124</v>
      </c>
      <c r="C5" s="68"/>
      <c r="D5" s="68"/>
      <c r="E5" s="68"/>
      <c r="G5" s="68" t="s">
        <v>144</v>
      </c>
      <c r="H5" s="68"/>
      <c r="I5" s="68"/>
      <c r="J5" s="68"/>
    </row>
    <row r="6" spans="2:10" x14ac:dyDescent="0.25">
      <c r="B6" s="14"/>
      <c r="C6" s="14">
        <v>2023</v>
      </c>
      <c r="D6" s="14">
        <v>2024</v>
      </c>
      <c r="E6" s="14">
        <v>2025</v>
      </c>
      <c r="G6" s="20" t="s">
        <v>125</v>
      </c>
      <c r="H6" s="20">
        <v>2023</v>
      </c>
      <c r="I6" s="20">
        <v>2024</v>
      </c>
      <c r="J6" s="20" t="s">
        <v>139</v>
      </c>
    </row>
    <row r="7" spans="2:10" x14ac:dyDescent="0.25">
      <c r="B7" s="15" t="s">
        <v>93</v>
      </c>
      <c r="C7" s="14"/>
      <c r="D7" s="14"/>
      <c r="E7" s="14"/>
      <c r="G7" s="20" t="s">
        <v>126</v>
      </c>
      <c r="H7" s="20">
        <v>135485652</v>
      </c>
      <c r="I7" s="20">
        <v>159292229</v>
      </c>
      <c r="J7" s="20">
        <v>203894438</v>
      </c>
    </row>
    <row r="8" spans="2:10" x14ac:dyDescent="0.25">
      <c r="B8" s="15" t="s">
        <v>94</v>
      </c>
      <c r="C8" s="14"/>
      <c r="D8" s="14"/>
      <c r="E8" s="14"/>
      <c r="G8" s="20" t="s">
        <v>127</v>
      </c>
      <c r="H8" s="20">
        <v>125813871</v>
      </c>
      <c r="I8" s="20">
        <v>147065100</v>
      </c>
      <c r="J8" s="20">
        <v>181714342</v>
      </c>
    </row>
    <row r="9" spans="2:10" x14ac:dyDescent="0.25">
      <c r="B9" s="14" t="s">
        <v>3</v>
      </c>
      <c r="C9" s="14">
        <v>12158765</v>
      </c>
      <c r="D9" s="14">
        <v>12445718</v>
      </c>
      <c r="E9" s="14">
        <v>12629323</v>
      </c>
      <c r="G9" s="20" t="s">
        <v>128</v>
      </c>
      <c r="H9" s="20">
        <v>9671781</v>
      </c>
      <c r="I9" s="20">
        <v>12227129</v>
      </c>
      <c r="J9" s="20">
        <v>22180096</v>
      </c>
    </row>
    <row r="10" spans="2:10" x14ac:dyDescent="0.25">
      <c r="B10" s="14" t="s">
        <v>95</v>
      </c>
      <c r="C10" s="14">
        <v>35311</v>
      </c>
      <c r="D10" s="14">
        <v>7826</v>
      </c>
      <c r="E10" s="14">
        <v>23959</v>
      </c>
      <c r="G10" s="20" t="s">
        <v>129</v>
      </c>
      <c r="H10" s="20">
        <v>-3032096</v>
      </c>
      <c r="I10" s="20">
        <v>-3651933</v>
      </c>
      <c r="J10" s="20">
        <v>-4408844</v>
      </c>
    </row>
    <row r="11" spans="2:10" x14ac:dyDescent="0.25">
      <c r="B11" s="14" t="s">
        <v>96</v>
      </c>
      <c r="C11" s="14">
        <v>340816</v>
      </c>
      <c r="D11" s="14">
        <v>350593</v>
      </c>
      <c r="E11" s="14">
        <v>400519</v>
      </c>
      <c r="G11" s="20" t="s">
        <v>130</v>
      </c>
      <c r="H11" s="20">
        <v>-860548</v>
      </c>
      <c r="I11" s="20">
        <v>-1073333</v>
      </c>
      <c r="J11" s="20">
        <v>-1306075</v>
      </c>
    </row>
    <row r="12" spans="2:10" x14ac:dyDescent="0.25">
      <c r="B12" s="14" t="s">
        <v>97</v>
      </c>
      <c r="C12" s="14">
        <v>75469</v>
      </c>
      <c r="D12" s="14">
        <v>106531</v>
      </c>
      <c r="E12" s="14">
        <v>119841</v>
      </c>
      <c r="G12" s="20" t="s">
        <v>131</v>
      </c>
      <c r="H12" s="20">
        <v>4555670</v>
      </c>
      <c r="I12" s="20">
        <v>9061152</v>
      </c>
      <c r="J12" s="20">
        <v>9192365</v>
      </c>
    </row>
    <row r="13" spans="2:10" x14ac:dyDescent="0.25">
      <c r="B13" s="14" t="s">
        <v>98</v>
      </c>
      <c r="C13" s="14">
        <v>41662</v>
      </c>
      <c r="D13" s="14">
        <v>41672</v>
      </c>
      <c r="E13" s="14">
        <v>43887</v>
      </c>
      <c r="G13" s="20" t="s">
        <v>132</v>
      </c>
      <c r="H13" s="20">
        <v>-2156059</v>
      </c>
      <c r="I13" s="20">
        <v>-735293</v>
      </c>
      <c r="J13" s="20">
        <v>-1245028</v>
      </c>
    </row>
    <row r="14" spans="2:10" x14ac:dyDescent="0.25">
      <c r="B14" s="21" t="s">
        <v>99</v>
      </c>
      <c r="C14" s="21">
        <v>12652023</v>
      </c>
      <c r="D14" s="21">
        <v>12952340</v>
      </c>
      <c r="E14" s="21">
        <v>13217529</v>
      </c>
      <c r="G14" s="20" t="s">
        <v>133</v>
      </c>
      <c r="H14" s="20">
        <v>322</v>
      </c>
      <c r="I14" s="20">
        <v>12475</v>
      </c>
      <c r="J14" s="20">
        <v>54638</v>
      </c>
    </row>
    <row r="15" spans="2:10" x14ac:dyDescent="0.25">
      <c r="B15" s="15" t="s">
        <v>4</v>
      </c>
      <c r="C15" s="14"/>
      <c r="D15" s="14"/>
      <c r="E15" s="14"/>
      <c r="G15" s="20" t="s">
        <v>134</v>
      </c>
      <c r="H15" s="20">
        <v>8179070</v>
      </c>
      <c r="I15" s="20">
        <v>15840197</v>
      </c>
      <c r="J15" s="20">
        <v>24467152</v>
      </c>
    </row>
    <row r="16" spans="2:10" x14ac:dyDescent="0.25">
      <c r="B16" s="14" t="s">
        <v>100</v>
      </c>
      <c r="C16" s="14">
        <v>1083666</v>
      </c>
      <c r="D16" s="14">
        <v>1027714</v>
      </c>
      <c r="E16" s="14">
        <v>993123</v>
      </c>
      <c r="G16" s="20" t="s">
        <v>135</v>
      </c>
      <c r="H16" s="20">
        <v>-76027</v>
      </c>
      <c r="I16" s="20">
        <v>-102099</v>
      </c>
      <c r="J16" s="20">
        <v>-125485</v>
      </c>
    </row>
    <row r="17" spans="2:10" x14ac:dyDescent="0.25">
      <c r="B17" s="14" t="s">
        <v>101</v>
      </c>
      <c r="C17" s="14">
        <v>8005452</v>
      </c>
      <c r="D17" s="14">
        <v>9621651</v>
      </c>
      <c r="E17" s="14">
        <v>8369639</v>
      </c>
      <c r="G17" s="20" t="s">
        <v>136</v>
      </c>
      <c r="H17" s="20">
        <v>8103043</v>
      </c>
      <c r="I17" s="20">
        <v>15738098</v>
      </c>
      <c r="J17" s="20">
        <v>24341667</v>
      </c>
    </row>
    <row r="18" spans="2:10" x14ac:dyDescent="0.25">
      <c r="B18" s="14" t="s">
        <v>5</v>
      </c>
      <c r="C18" s="14">
        <v>797382</v>
      </c>
      <c r="D18" s="14">
        <v>1021954</v>
      </c>
      <c r="E18" s="14">
        <v>2506086</v>
      </c>
      <c r="G18" s="20" t="s">
        <v>137</v>
      </c>
      <c r="H18" s="20">
        <v>-3098888</v>
      </c>
      <c r="I18" s="20">
        <v>-6030053</v>
      </c>
      <c r="J18" s="20">
        <v>-9090052</v>
      </c>
    </row>
    <row r="19" spans="2:10" x14ac:dyDescent="0.25">
      <c r="B19" s="14" t="s">
        <v>102</v>
      </c>
      <c r="C19" s="14">
        <v>94502</v>
      </c>
      <c r="D19" s="14">
        <v>89211</v>
      </c>
      <c r="E19" s="14">
        <v>102015</v>
      </c>
      <c r="G19" s="20" t="s">
        <v>138</v>
      </c>
      <c r="H19" s="20">
        <v>5004155</v>
      </c>
      <c r="I19" s="20">
        <v>9708045</v>
      </c>
      <c r="J19" s="20">
        <v>15251615</v>
      </c>
    </row>
    <row r="20" spans="2:10" x14ac:dyDescent="0.25">
      <c r="B20" s="14" t="s">
        <v>103</v>
      </c>
      <c r="C20" s="14">
        <v>2242128</v>
      </c>
      <c r="D20" s="14">
        <v>229118</v>
      </c>
      <c r="E20" s="14">
        <v>290415</v>
      </c>
      <c r="G20" s="14"/>
      <c r="H20" s="14"/>
      <c r="I20" s="14"/>
      <c r="J20" s="14"/>
    </row>
    <row r="21" spans="2:10" x14ac:dyDescent="0.25">
      <c r="B21" s="14" t="s">
        <v>104</v>
      </c>
      <c r="C21" s="14">
        <v>10114241</v>
      </c>
      <c r="D21" s="14">
        <v>13959667</v>
      </c>
      <c r="E21" s="14">
        <v>30048664</v>
      </c>
    </row>
    <row r="22" spans="2:10" x14ac:dyDescent="0.25">
      <c r="B22" s="14" t="s">
        <v>105</v>
      </c>
      <c r="C22" s="14">
        <v>343803</v>
      </c>
      <c r="D22" s="14">
        <v>656355</v>
      </c>
      <c r="E22" s="14">
        <v>1063361</v>
      </c>
    </row>
    <row r="23" spans="2:10" x14ac:dyDescent="0.25">
      <c r="B23" s="14" t="s">
        <v>106</v>
      </c>
      <c r="C23" s="14">
        <v>1874</v>
      </c>
      <c r="D23" s="14">
        <v>16137</v>
      </c>
      <c r="E23" s="14">
        <v>650643</v>
      </c>
    </row>
    <row r="24" spans="2:10" x14ac:dyDescent="0.25">
      <c r="B24" s="14" t="s">
        <v>107</v>
      </c>
      <c r="C24" s="14"/>
      <c r="D24" s="14"/>
      <c r="E24" s="14">
        <v>811</v>
      </c>
      <c r="G24" s="3" t="s">
        <v>22</v>
      </c>
      <c r="H24" s="3" t="s">
        <v>9</v>
      </c>
    </row>
    <row r="25" spans="2:10" x14ac:dyDescent="0.25">
      <c r="B25" s="14" t="s">
        <v>108</v>
      </c>
      <c r="C25" s="17">
        <v>34702516</v>
      </c>
      <c r="D25" s="14">
        <v>36369606</v>
      </c>
      <c r="E25" s="14">
        <v>30099343</v>
      </c>
      <c r="G25" s="2" t="s">
        <v>10</v>
      </c>
      <c r="H25" s="2" t="s">
        <v>16</v>
      </c>
    </row>
    <row r="26" spans="2:10" x14ac:dyDescent="0.25">
      <c r="B26" s="21" t="s">
        <v>109</v>
      </c>
      <c r="C26" s="21">
        <v>57385564</v>
      </c>
      <c r="D26" s="21">
        <v>62991413</v>
      </c>
      <c r="E26" s="21">
        <v>74124100</v>
      </c>
      <c r="G26" s="2" t="s">
        <v>11</v>
      </c>
      <c r="H26" s="2" t="s">
        <v>17</v>
      </c>
    </row>
    <row r="27" spans="2:10" x14ac:dyDescent="0.25">
      <c r="B27" s="16" t="s">
        <v>110</v>
      </c>
      <c r="C27" s="18">
        <v>70037587</v>
      </c>
      <c r="D27" s="16">
        <v>75943753</v>
      </c>
      <c r="E27" s="16">
        <v>87341629</v>
      </c>
      <c r="G27" s="2" t="s">
        <v>12</v>
      </c>
      <c r="H27" s="2" t="s">
        <v>18</v>
      </c>
    </row>
    <row r="28" spans="2:10" x14ac:dyDescent="0.25">
      <c r="B28" s="15" t="s">
        <v>111</v>
      </c>
      <c r="C28" s="14"/>
      <c r="D28" s="14"/>
      <c r="E28" s="14"/>
      <c r="G28" s="2" t="s">
        <v>13</v>
      </c>
      <c r="H28" s="2" t="s">
        <v>19</v>
      </c>
    </row>
    <row r="29" spans="2:10" x14ac:dyDescent="0.25">
      <c r="B29" s="15" t="s">
        <v>112</v>
      </c>
      <c r="C29" s="14"/>
      <c r="D29" s="14"/>
      <c r="E29" s="14"/>
      <c r="G29" s="2" t="s">
        <v>14</v>
      </c>
      <c r="H29" s="2" t="s">
        <v>20</v>
      </c>
    </row>
    <row r="30" spans="2:10" x14ac:dyDescent="0.25">
      <c r="B30" s="14" t="s">
        <v>113</v>
      </c>
      <c r="C30" s="14">
        <v>1240879</v>
      </c>
      <c r="D30" s="14">
        <v>1240879</v>
      </c>
      <c r="E30" s="14">
        <v>1240879</v>
      </c>
      <c r="G30" s="2" t="s">
        <v>15</v>
      </c>
      <c r="H30" s="2" t="s">
        <v>21</v>
      </c>
    </row>
    <row r="31" spans="2:10" x14ac:dyDescent="0.25">
      <c r="B31" s="14" t="s">
        <v>1</v>
      </c>
      <c r="C31" s="14">
        <v>21539063</v>
      </c>
      <c r="D31" s="14">
        <v>27526690</v>
      </c>
      <c r="E31" s="14">
        <v>35121659</v>
      </c>
    </row>
    <row r="32" spans="2:10" x14ac:dyDescent="0.25">
      <c r="B32" s="16" t="s">
        <v>114</v>
      </c>
      <c r="C32" s="16">
        <v>22779942</v>
      </c>
      <c r="D32" s="16">
        <v>28767569</v>
      </c>
      <c r="E32" s="16">
        <v>36362538</v>
      </c>
    </row>
    <row r="33" spans="2:5" x14ac:dyDescent="0.25">
      <c r="B33" s="15" t="s">
        <v>115</v>
      </c>
      <c r="C33" s="14"/>
      <c r="D33" s="14"/>
      <c r="E33" s="14"/>
    </row>
    <row r="34" spans="2:5" x14ac:dyDescent="0.25">
      <c r="B34" s="14" t="s">
        <v>116</v>
      </c>
      <c r="C34" s="14">
        <v>148102</v>
      </c>
      <c r="D34" s="14">
        <v>289306</v>
      </c>
      <c r="E34" s="14">
        <v>355322</v>
      </c>
    </row>
    <row r="35" spans="2:5" x14ac:dyDescent="0.25">
      <c r="B35" s="14" t="s">
        <v>117</v>
      </c>
      <c r="C35" s="14">
        <v>559591</v>
      </c>
      <c r="D35" s="14">
        <v>663559</v>
      </c>
      <c r="E35" s="14">
        <v>743615</v>
      </c>
    </row>
    <row r="36" spans="2:5" x14ac:dyDescent="0.25">
      <c r="B36" s="14" t="s">
        <v>118</v>
      </c>
      <c r="C36" s="14">
        <v>633022</v>
      </c>
      <c r="D36" s="14">
        <v>877658</v>
      </c>
      <c r="E36" s="14">
        <v>927367</v>
      </c>
    </row>
    <row r="37" spans="2:5" x14ac:dyDescent="0.25">
      <c r="B37" s="21" t="s">
        <v>119</v>
      </c>
      <c r="C37" s="22">
        <v>1340715</v>
      </c>
      <c r="D37" s="21">
        <v>1830523</v>
      </c>
      <c r="E37" s="21">
        <v>2026304</v>
      </c>
    </row>
    <row r="38" spans="2:5" x14ac:dyDescent="0.25">
      <c r="B38" s="15" t="s">
        <v>2</v>
      </c>
      <c r="C38" s="14"/>
      <c r="D38" s="14"/>
      <c r="E38" s="14"/>
    </row>
    <row r="39" spans="2:5" x14ac:dyDescent="0.25">
      <c r="B39" s="14" t="s">
        <v>120</v>
      </c>
      <c r="C39" s="14">
        <v>53617</v>
      </c>
      <c r="D39" s="14">
        <v>57987</v>
      </c>
      <c r="E39" s="14">
        <v>52285</v>
      </c>
    </row>
    <row r="40" spans="2:5" x14ac:dyDescent="0.25">
      <c r="B40" s="14" t="s">
        <v>121</v>
      </c>
      <c r="C40" s="14">
        <v>45813308</v>
      </c>
      <c r="D40" s="14">
        <v>44049984</v>
      </c>
      <c r="E40" s="14">
        <v>48900502</v>
      </c>
    </row>
    <row r="41" spans="2:5" x14ac:dyDescent="0.25">
      <c r="B41" s="14" t="s">
        <v>107</v>
      </c>
      <c r="C41" s="14">
        <v>50005</v>
      </c>
      <c r="D41" s="14">
        <v>1237690</v>
      </c>
      <c r="E41" s="14"/>
    </row>
    <row r="42" spans="2:5" x14ac:dyDescent="0.25">
      <c r="B42" s="21" t="s">
        <v>122</v>
      </c>
      <c r="C42" s="21">
        <v>45916930</v>
      </c>
      <c r="D42" s="21">
        <v>45345661</v>
      </c>
      <c r="E42" s="21">
        <v>48952787</v>
      </c>
    </row>
    <row r="43" spans="2:5" x14ac:dyDescent="0.25">
      <c r="B43" s="16" t="s">
        <v>123</v>
      </c>
      <c r="C43" s="16">
        <v>70037587</v>
      </c>
      <c r="D43" s="16">
        <v>75943753</v>
      </c>
      <c r="E43" s="16">
        <v>87341629</v>
      </c>
    </row>
    <row r="74" spans="1:7" x14ac:dyDescent="0.25">
      <c r="G74" s="1" t="s">
        <v>145</v>
      </c>
    </row>
    <row r="75" spans="1:7" x14ac:dyDescent="0.25">
      <c r="A75" s="1" t="s">
        <v>147</v>
      </c>
    </row>
    <row r="76" spans="1:7" x14ac:dyDescent="0.25">
      <c r="A76" s="1" t="s">
        <v>146</v>
      </c>
    </row>
    <row r="109" spans="2:5" x14ac:dyDescent="0.25">
      <c r="B109" s="1" t="s">
        <v>141</v>
      </c>
      <c r="C109" s="13">
        <v>4747267</v>
      </c>
      <c r="D109" s="13">
        <v>6214641</v>
      </c>
      <c r="E109" s="13">
        <v>5067798</v>
      </c>
    </row>
    <row r="110" spans="2:5" x14ac:dyDescent="0.25">
      <c r="B110" s="1" t="s">
        <v>140</v>
      </c>
      <c r="C110" s="13">
        <v>6214641</v>
      </c>
      <c r="D110" s="13">
        <v>5067798</v>
      </c>
      <c r="E110" s="13">
        <v>5623497</v>
      </c>
    </row>
    <row r="111" spans="2:5" x14ac:dyDescent="0.25">
      <c r="B111" t="s">
        <v>142</v>
      </c>
      <c r="C111" s="13">
        <v>1730184</v>
      </c>
      <c r="D111" s="13">
        <v>2993078</v>
      </c>
      <c r="E111" s="13">
        <v>2342094</v>
      </c>
    </row>
    <row r="112" spans="2:5" x14ac:dyDescent="0.25">
      <c r="B112" t="s">
        <v>143</v>
      </c>
      <c r="C112" s="13">
        <v>1699558</v>
      </c>
      <c r="D112" s="19">
        <v>1730184</v>
      </c>
      <c r="E112" s="13">
        <v>2993078</v>
      </c>
    </row>
  </sheetData>
  <mergeCells count="5">
    <mergeCell ref="B2:E2"/>
    <mergeCell ref="G5:J5"/>
    <mergeCell ref="B5:E5"/>
    <mergeCell ref="B4:E4"/>
    <mergeCell ref="G4:J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5810-9711-48A5-91C7-716207731C64}">
  <dimension ref="A1:R42"/>
  <sheetViews>
    <sheetView topLeftCell="A31" zoomScale="89" zoomScaleNormal="100" workbookViewId="0">
      <selection activeCell="G33" sqref="G33"/>
    </sheetView>
  </sheetViews>
  <sheetFormatPr defaultRowHeight="15" x14ac:dyDescent="0.25"/>
  <cols>
    <col min="1" max="1" width="42.28515625" style="41" bestFit="1" customWidth="1"/>
    <col min="2" max="2" width="14" style="41" bestFit="1" customWidth="1"/>
    <col min="3" max="3" width="12.85546875" style="41" bestFit="1" customWidth="1"/>
    <col min="4" max="4" width="14" style="41" bestFit="1" customWidth="1"/>
    <col min="5" max="5" width="18" style="41" bestFit="1" customWidth="1"/>
    <col min="6" max="6" width="21.7109375" style="41" customWidth="1"/>
    <col min="7" max="7" width="26.85546875" style="41" bestFit="1" customWidth="1"/>
    <col min="8" max="8" width="8.85546875" style="41" bestFit="1" customWidth="1"/>
    <col min="9" max="9" width="9.28515625" style="41" bestFit="1" customWidth="1"/>
    <col min="10" max="10" width="8.85546875" style="41" bestFit="1" customWidth="1"/>
    <col min="11" max="11" width="19.42578125" style="41" bestFit="1" customWidth="1"/>
    <col min="12" max="12" width="14.140625" style="41" bestFit="1" customWidth="1"/>
    <col min="13" max="13" width="50.42578125" style="41" bestFit="1" customWidth="1"/>
    <col min="14" max="14" width="23.7109375" style="41" bestFit="1" customWidth="1"/>
    <col min="15" max="16" width="8.28515625" style="41" bestFit="1" customWidth="1"/>
    <col min="17" max="17" width="14.140625" style="41" bestFit="1" customWidth="1"/>
    <col min="18" max="18" width="38.7109375" style="41" bestFit="1" customWidth="1"/>
    <col min="19" max="19" width="9.140625" style="41"/>
    <col min="20" max="20" width="24.28515625" style="41" bestFit="1" customWidth="1"/>
    <col min="21" max="23" width="9.140625" style="41"/>
    <col min="24" max="24" width="14.140625" style="41" bestFit="1" customWidth="1"/>
    <col min="25" max="16384" width="9.140625" style="41"/>
  </cols>
  <sheetData>
    <row r="1" spans="1:18" ht="19.5" thickBot="1" x14ac:dyDescent="0.3">
      <c r="M1" s="74" t="s">
        <v>30</v>
      </c>
      <c r="N1" s="74"/>
      <c r="O1" s="74"/>
      <c r="P1" s="74"/>
      <c r="Q1" s="74"/>
    </row>
    <row r="2" spans="1:18" ht="18.75" x14ac:dyDescent="0.25">
      <c r="A2" s="76" t="s">
        <v>23</v>
      </c>
      <c r="B2" s="77"/>
      <c r="C2" s="77"/>
      <c r="D2" s="77"/>
      <c r="E2" s="78"/>
      <c r="G2" s="74" t="s">
        <v>161</v>
      </c>
      <c r="H2" s="74"/>
      <c r="I2" s="74"/>
      <c r="J2" s="74"/>
      <c r="K2" s="74"/>
      <c r="M2" s="42"/>
      <c r="N2" s="75" t="s">
        <v>26</v>
      </c>
      <c r="O2" s="75"/>
      <c r="P2" s="75"/>
      <c r="Q2" s="10" t="s">
        <v>31</v>
      </c>
    </row>
    <row r="3" spans="1:18" ht="15.75" x14ac:dyDescent="0.25">
      <c r="A3" s="43"/>
      <c r="B3" s="92" t="s">
        <v>26</v>
      </c>
      <c r="C3" s="93"/>
      <c r="D3" s="94"/>
      <c r="E3" s="24" t="s">
        <v>31</v>
      </c>
      <c r="G3" s="42"/>
      <c r="H3" s="10" t="s">
        <v>26</v>
      </c>
      <c r="I3" s="10"/>
      <c r="J3" s="10"/>
      <c r="K3" s="10" t="s">
        <v>31</v>
      </c>
      <c r="M3" s="42"/>
      <c r="N3" s="12">
        <v>2023</v>
      </c>
      <c r="O3" s="12">
        <v>2024</v>
      </c>
      <c r="P3" s="12">
        <v>2025</v>
      </c>
      <c r="Q3" s="12">
        <v>2025</v>
      </c>
    </row>
    <row r="4" spans="1:18" ht="15.75" x14ac:dyDescent="0.25">
      <c r="A4" s="44"/>
      <c r="B4" s="12">
        <v>2023</v>
      </c>
      <c r="C4" s="12">
        <v>2024</v>
      </c>
      <c r="D4" s="12">
        <v>2025</v>
      </c>
      <c r="E4" s="25">
        <v>2025</v>
      </c>
      <c r="G4" s="42"/>
      <c r="H4" s="12">
        <v>2023</v>
      </c>
      <c r="I4" s="12">
        <v>2024</v>
      </c>
      <c r="J4" s="12">
        <v>2025</v>
      </c>
      <c r="K4" s="12">
        <v>2025</v>
      </c>
      <c r="M4" s="42" t="s">
        <v>153</v>
      </c>
      <c r="N4" s="45">
        <f>STATEMENT!H7/STATEMENT!C18</f>
        <v>169.91310563820102</v>
      </c>
      <c r="O4" s="45">
        <f>STATEMENT!I7/STATEMENT!D18</f>
        <v>155.87025345563498</v>
      </c>
      <c r="P4" s="45">
        <f>STATEMENT!J7/STATEMENT!E18</f>
        <v>81.359713114394324</v>
      </c>
      <c r="Q4" s="45">
        <v>13</v>
      </c>
      <c r="R4" s="41" t="s">
        <v>176</v>
      </c>
    </row>
    <row r="5" spans="1:18" x14ac:dyDescent="0.25">
      <c r="A5" s="44" t="s">
        <v>24</v>
      </c>
      <c r="B5" s="46">
        <f>STATEMENT!C26/STATEMENT!C42</f>
        <v>1.2497691809970746</v>
      </c>
      <c r="C5" s="46">
        <f>STATEMENT!D26/STATEMENT!D42</f>
        <v>1.3891387094346248</v>
      </c>
      <c r="D5" s="46">
        <f>STATEMENT!E26/STATEMENT!E42</f>
        <v>1.5141957086120552</v>
      </c>
      <c r="E5" s="47">
        <v>1.5</v>
      </c>
      <c r="G5" s="48" t="s">
        <v>148</v>
      </c>
      <c r="H5" s="49">
        <f>STATEMENT!H9/STATEMENT!H7</f>
        <v>7.1386016579822048E-2</v>
      </c>
      <c r="I5" s="49">
        <f>STATEMENT!H9/STATEMENT!H7</f>
        <v>7.1386016579822048E-2</v>
      </c>
      <c r="J5" s="49">
        <f>STATEMENT!I9/STATEMENT!I7</f>
        <v>7.6759105430058358E-2</v>
      </c>
      <c r="K5" s="49">
        <v>0.15</v>
      </c>
      <c r="M5" s="42" t="s">
        <v>154</v>
      </c>
      <c r="N5" s="50">
        <f>365/N4</f>
        <v>2.1481568395153752</v>
      </c>
      <c r="O5" s="50">
        <f>365/O4</f>
        <v>2.3416911944900969</v>
      </c>
      <c r="P5" s="50">
        <f>365/P4</f>
        <v>4.4862498407141445</v>
      </c>
      <c r="Q5" s="50">
        <f>365/Q4</f>
        <v>28.076923076923077</v>
      </c>
      <c r="R5" s="41" t="s">
        <v>183</v>
      </c>
    </row>
    <row r="6" spans="1:18" ht="15.75" thickBot="1" x14ac:dyDescent="0.3">
      <c r="A6" s="51" t="s">
        <v>25</v>
      </c>
      <c r="B6" s="52">
        <f>(STATEMENT!C26-STATEMENT!C17)/STATEMENT!C42</f>
        <v>1.0754227689002727</v>
      </c>
      <c r="C6" s="52">
        <f>(STATEMENT!D26-STATEMENT!D17)/STATEMENT!D42</f>
        <v>1.1769541081339623</v>
      </c>
      <c r="D6" s="52">
        <f>(STATEMENT!E26-STATEMENT!E17)/STATEMENT!E42</f>
        <v>1.3432220110368793</v>
      </c>
      <c r="E6" s="53">
        <v>1.3</v>
      </c>
      <c r="G6" s="48" t="s">
        <v>149</v>
      </c>
      <c r="H6" s="49">
        <f>STATEMENT!H19/STATEMENT!H7</f>
        <v>3.6934944225680812E-2</v>
      </c>
      <c r="I6" s="49">
        <f>STATEMENT!I19/STATEMENT!I7</f>
        <v>6.094487509494264E-2</v>
      </c>
      <c r="J6" s="49">
        <f>STATEMENT!J19/STATEMENT!J7</f>
        <v>7.4801525483495529E-2</v>
      </c>
      <c r="K6" s="49">
        <v>0.11</v>
      </c>
      <c r="M6" s="41" t="s">
        <v>185</v>
      </c>
      <c r="N6" s="54">
        <f>STATEMENT!H8/STATEMENT!C40</f>
        <v>2.7462297854588451</v>
      </c>
      <c r="O6" s="54">
        <f>STATEMENT!I8/STATEMENT!D40</f>
        <v>3.3385959913174998</v>
      </c>
      <c r="P6" s="54">
        <f>STATEMENT!J8/STATEMENT!E40</f>
        <v>3.7160015657916969</v>
      </c>
      <c r="Q6" s="54">
        <f>Q10-Q5-Q9</f>
        <v>99.123076923076937</v>
      </c>
      <c r="R6" s="41" t="s">
        <v>186</v>
      </c>
    </row>
    <row r="7" spans="1:18" x14ac:dyDescent="0.25">
      <c r="G7" s="48" t="s">
        <v>150</v>
      </c>
      <c r="H7" s="49">
        <f>STATEMENT!H19/STATEMENT!C27</f>
        <v>7.1449563218104584E-2</v>
      </c>
      <c r="I7" s="49">
        <f>STATEMENT!I19/STATEMENT!D27</f>
        <v>0.12783204169538473</v>
      </c>
      <c r="J7" s="49">
        <f>STATEMENT!J19/STATEMENT!E27</f>
        <v>0.17462022605509225</v>
      </c>
      <c r="K7" s="49">
        <f>23009659/184774378</f>
        <v>0.12452840728815767</v>
      </c>
      <c r="M7" s="42" t="s">
        <v>155</v>
      </c>
      <c r="N7" s="50">
        <f>365/N6</f>
        <v>132.90948992420718</v>
      </c>
      <c r="O7" s="50">
        <f>365/O6</f>
        <v>109.32739419481577</v>
      </c>
      <c r="P7" s="50">
        <f>365/P6</f>
        <v>98.223855275000801</v>
      </c>
      <c r="Q7" s="50">
        <v>127.33</v>
      </c>
      <c r="R7" s="41" t="s">
        <v>184</v>
      </c>
    </row>
    <row r="8" spans="1:18" x14ac:dyDescent="0.25">
      <c r="A8" s="41" t="s">
        <v>180</v>
      </c>
      <c r="G8" s="48" t="s">
        <v>151</v>
      </c>
      <c r="H8" s="49">
        <f>STATEMENT!H19/STATEMENT!C32</f>
        <v>0.21967373753629399</v>
      </c>
      <c r="I8" s="49">
        <f>STATEMENT!I19/STATEMENT!D32</f>
        <v>0.33746490709729415</v>
      </c>
      <c r="J8" s="49">
        <f>STATEMENT!J19/STATEMENT!E32</f>
        <v>0.41943208144602007</v>
      </c>
      <c r="K8" s="49">
        <v>0.3</v>
      </c>
      <c r="M8" s="42" t="s">
        <v>156</v>
      </c>
      <c r="N8" s="45">
        <f>STATEMENT!H8/((STATEMENT!D17+STATEMENT!C17)/2)</f>
        <v>14.275048032566668</v>
      </c>
      <c r="O8" s="45">
        <f>STATEMENT!I8/((STATEMENT!D17+STATEMENT!C17)/2)</f>
        <v>16.686247309044486</v>
      </c>
      <c r="P8" s="45">
        <f>STATEMENT!J8/((STATEMENT!E17+STATEMENT!D17)/2)</f>
        <v>20.20025712441965</v>
      </c>
      <c r="Q8" s="45">
        <v>8.5</v>
      </c>
      <c r="R8" s="41" t="s">
        <v>177</v>
      </c>
    </row>
    <row r="9" spans="1:18" x14ac:dyDescent="0.25">
      <c r="A9" s="41" t="s">
        <v>181</v>
      </c>
      <c r="G9" s="48"/>
      <c r="H9" s="49"/>
      <c r="I9" s="49"/>
      <c r="J9" s="49"/>
      <c r="K9" s="49"/>
      <c r="M9" s="42" t="s">
        <v>157</v>
      </c>
      <c r="N9" s="50">
        <f>365/N8</f>
        <v>25.569090847701521</v>
      </c>
      <c r="O9" s="50">
        <f>365/O8</f>
        <v>21.874301227823597</v>
      </c>
      <c r="P9" s="50">
        <f>365/P8</f>
        <v>18.069076930647554</v>
      </c>
      <c r="Q9" s="50">
        <v>43.2</v>
      </c>
      <c r="R9" s="41" t="s">
        <v>182</v>
      </c>
    </row>
    <row r="10" spans="1:18" x14ac:dyDescent="0.25">
      <c r="G10" s="55"/>
      <c r="H10" s="56"/>
      <c r="I10" s="56"/>
      <c r="J10" s="56"/>
      <c r="K10" s="56"/>
      <c r="M10" s="42" t="s">
        <v>158</v>
      </c>
      <c r="N10" s="50">
        <f>N5+N9</f>
        <v>27.717247687216897</v>
      </c>
      <c r="O10" s="50">
        <f>O5+O9</f>
        <v>24.215992422313693</v>
      </c>
      <c r="P10" s="50">
        <f>P5+P9</f>
        <v>22.555326771361699</v>
      </c>
      <c r="Q10" s="50">
        <v>170.4</v>
      </c>
      <c r="R10" s="41" t="s">
        <v>187</v>
      </c>
    </row>
    <row r="11" spans="1:18" x14ac:dyDescent="0.25">
      <c r="M11" s="42" t="s">
        <v>159</v>
      </c>
      <c r="N11" s="50">
        <f>N10-N7</f>
        <v>-105.19224223699028</v>
      </c>
      <c r="O11" s="50">
        <f>O10-O7</f>
        <v>-85.111401772502077</v>
      </c>
      <c r="P11" s="50">
        <f>P10-P7</f>
        <v>-75.668528503639095</v>
      </c>
      <c r="Q11" s="50">
        <v>43.2</v>
      </c>
      <c r="R11" s="41" t="s">
        <v>188</v>
      </c>
    </row>
    <row r="12" spans="1:18" x14ac:dyDescent="0.25">
      <c r="M12" s="42" t="s">
        <v>152</v>
      </c>
      <c r="N12" s="45">
        <f>STATEMENT!H7/STATEMENT!C27</f>
        <v>1.9344705864866532</v>
      </c>
      <c r="O12" s="45">
        <f>STATEMENT!I7/STATEMENT!D27</f>
        <v>2.0975027267878108</v>
      </c>
      <c r="P12" s="45">
        <f>STATEMENT!J7/STATEMENT!E27</f>
        <v>2.3344473916326889</v>
      </c>
      <c r="Q12" s="45">
        <v>1.2</v>
      </c>
      <c r="R12" s="41" t="s">
        <v>178</v>
      </c>
    </row>
    <row r="22" spans="1:14" x14ac:dyDescent="0.25">
      <c r="N22" s="57"/>
    </row>
    <row r="23" spans="1:14" x14ac:dyDescent="0.25">
      <c r="M23" s="58"/>
    </row>
    <row r="24" spans="1:14" x14ac:dyDescent="0.25">
      <c r="N24" s="59"/>
    </row>
    <row r="25" spans="1:14" x14ac:dyDescent="0.25">
      <c r="D25" s="60"/>
      <c r="N25" s="59"/>
    </row>
    <row r="26" spans="1:14" ht="18.75" x14ac:dyDescent="0.25">
      <c r="A26" s="74" t="s">
        <v>32</v>
      </c>
      <c r="B26" s="74"/>
      <c r="C26" s="74"/>
      <c r="D26" s="74"/>
      <c r="E26" s="74"/>
      <c r="N26" s="59"/>
    </row>
    <row r="27" spans="1:14" ht="18.75" x14ac:dyDescent="0.25">
      <c r="A27" s="42"/>
      <c r="B27" s="75" t="s">
        <v>26</v>
      </c>
      <c r="C27" s="75"/>
      <c r="D27" s="75"/>
      <c r="E27" s="10" t="s">
        <v>31</v>
      </c>
      <c r="M27" s="61"/>
    </row>
    <row r="28" spans="1:14" ht="15.75" x14ac:dyDescent="0.25">
      <c r="A28" s="42"/>
      <c r="B28" s="12">
        <v>2023</v>
      </c>
      <c r="C28" s="12">
        <v>2024</v>
      </c>
      <c r="D28" s="12">
        <v>2025</v>
      </c>
      <c r="E28" s="12">
        <v>2025</v>
      </c>
      <c r="N28" s="57"/>
    </row>
    <row r="29" spans="1:14" x14ac:dyDescent="0.25">
      <c r="A29" s="62" t="s">
        <v>33</v>
      </c>
      <c r="B29" s="46">
        <f>STATEMENT!H15/STATEMENT!C17</f>
        <v>1.0216874699892025</v>
      </c>
      <c r="C29" s="46">
        <f>STATEMENT!I15/STATEMENT!D17</f>
        <v>1.6463075827630829</v>
      </c>
      <c r="D29" s="46">
        <f>STATEMENT!J15/STATEMENT!E17</f>
        <v>2.9233222603746709</v>
      </c>
      <c r="E29" s="46">
        <f>22984791/21766847</f>
        <v>1.0559540846683031</v>
      </c>
      <c r="N29" s="57"/>
    </row>
    <row r="30" spans="1:14" x14ac:dyDescent="0.25">
      <c r="N30" s="57"/>
    </row>
    <row r="31" spans="1:14" x14ac:dyDescent="0.25">
      <c r="A31" s="41" t="s">
        <v>179</v>
      </c>
      <c r="N31" s="57"/>
    </row>
    <row r="32" spans="1:14" x14ac:dyDescent="0.25">
      <c r="A32" s="73"/>
      <c r="B32" s="73"/>
      <c r="N32" s="57"/>
    </row>
    <row r="33" spans="7:14" ht="15.75" thickBot="1" x14ac:dyDescent="0.3">
      <c r="N33" s="57"/>
    </row>
    <row r="34" spans="7:14" ht="18.75" x14ac:dyDescent="0.25">
      <c r="G34" s="79" t="s">
        <v>29</v>
      </c>
      <c r="H34" s="80"/>
      <c r="I34" s="80"/>
      <c r="J34" s="80"/>
      <c r="K34" s="81"/>
      <c r="N34" s="57"/>
    </row>
    <row r="35" spans="7:14" ht="15.75" x14ac:dyDescent="0.25">
      <c r="G35" s="43"/>
      <c r="H35" s="10" t="s">
        <v>26</v>
      </c>
      <c r="I35" s="10"/>
      <c r="J35" s="10"/>
      <c r="K35" s="24" t="s">
        <v>31</v>
      </c>
      <c r="N35" s="57"/>
    </row>
    <row r="36" spans="7:14" ht="15.75" x14ac:dyDescent="0.25">
      <c r="G36" s="43"/>
      <c r="H36" s="12">
        <v>2023</v>
      </c>
      <c r="I36" s="12">
        <v>2024</v>
      </c>
      <c r="J36" s="12">
        <v>2025</v>
      </c>
      <c r="K36" s="25">
        <v>2025</v>
      </c>
      <c r="N36" s="63"/>
    </row>
    <row r="37" spans="7:14" x14ac:dyDescent="0.25">
      <c r="G37" s="64" t="s">
        <v>27</v>
      </c>
      <c r="H37" s="46">
        <f>(STATEMENT!C43-STATEMENT!C32)/(STATEMENT!C31+STATEMENT!C30)</f>
        <v>2.0745287674569144</v>
      </c>
      <c r="I37" s="46">
        <f>(STATEMENT!D43-STATEMENT!D32)/(STATEMENT!D30+STATEMENT!D31)</f>
        <v>1.639908606806505</v>
      </c>
      <c r="J37" s="46">
        <f>(STATEMENT!E43-STATEMENT!E32)/(STATEMENT!E31+STATEMENT!E30)</f>
        <v>1.4019673489237743</v>
      </c>
      <c r="K37" s="47">
        <v>0.84</v>
      </c>
      <c r="M37" s="58"/>
    </row>
    <row r="38" spans="7:14" ht="15.75" thickBot="1" x14ac:dyDescent="0.3">
      <c r="G38" s="65" t="s">
        <v>28</v>
      </c>
      <c r="H38" s="52">
        <f>STATEMENT!C42/STATEMENT!C27</f>
        <v>0.6556041115465614</v>
      </c>
      <c r="I38" s="52">
        <f>STATEMENT!D42/STATEMENT!D27</f>
        <v>0.59709533975757034</v>
      </c>
      <c r="J38" s="52">
        <f>STATEMENT!E42/STATEMENT!E27</f>
        <v>0.56047485672610942</v>
      </c>
      <c r="K38" s="53">
        <v>0.35</v>
      </c>
      <c r="N38" s="66"/>
    </row>
    <row r="39" spans="7:14" x14ac:dyDescent="0.25">
      <c r="N39" s="66"/>
    </row>
    <row r="40" spans="7:14" x14ac:dyDescent="0.25">
      <c r="N40" s="66"/>
    </row>
    <row r="41" spans="7:14" x14ac:dyDescent="0.25">
      <c r="G41" s="73" t="s">
        <v>162</v>
      </c>
      <c r="H41" s="73"/>
      <c r="I41" s="73"/>
      <c r="J41" s="73"/>
    </row>
    <row r="42" spans="7:14" x14ac:dyDescent="0.25">
      <c r="G42" s="73" t="s">
        <v>163</v>
      </c>
      <c r="H42" s="73"/>
      <c r="I42" s="73"/>
    </row>
  </sheetData>
  <mergeCells count="11">
    <mergeCell ref="G42:I42"/>
    <mergeCell ref="M1:Q1"/>
    <mergeCell ref="N2:P2"/>
    <mergeCell ref="G2:K2"/>
    <mergeCell ref="B27:D27"/>
    <mergeCell ref="A2:E2"/>
    <mergeCell ref="A26:E26"/>
    <mergeCell ref="G41:J41"/>
    <mergeCell ref="A32:B32"/>
    <mergeCell ref="G34:K34"/>
    <mergeCell ref="B3:D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BA68-7D47-4393-95F5-95F3948998C1}">
  <dimension ref="B2:P92"/>
  <sheetViews>
    <sheetView topLeftCell="A34" zoomScale="74" zoomScaleNormal="115" workbookViewId="0">
      <selection activeCell="J48" sqref="J48:P48"/>
    </sheetView>
  </sheetViews>
  <sheetFormatPr defaultRowHeight="15" x14ac:dyDescent="0.25"/>
  <cols>
    <col min="1" max="1" width="9.140625" customWidth="1"/>
    <col min="2" max="2" width="58.7109375" bestFit="1" customWidth="1"/>
    <col min="3" max="3" width="17.28515625" bestFit="1" customWidth="1"/>
    <col min="4" max="5" width="17.85546875" bestFit="1" customWidth="1"/>
    <col min="6" max="8" width="9.140625" bestFit="1" customWidth="1"/>
    <col min="9" max="9" width="40.42578125" customWidth="1"/>
    <col min="10" max="10" width="58.7109375" bestFit="1" customWidth="1"/>
    <col min="11" max="13" width="15.5703125" bestFit="1" customWidth="1"/>
    <col min="14" max="14" width="9.140625" bestFit="1" customWidth="1"/>
    <col min="15" max="15" width="10" bestFit="1" customWidth="1"/>
    <col min="16" max="16" width="11.42578125" bestFit="1" customWidth="1"/>
    <col min="17" max="17" width="10.7109375" bestFit="1" customWidth="1"/>
  </cols>
  <sheetData>
    <row r="2" spans="2:16" ht="18.75" x14ac:dyDescent="0.3">
      <c r="B2" s="83" t="s">
        <v>34</v>
      </c>
      <c r="C2" s="83"/>
      <c r="D2" s="83"/>
      <c r="E2" s="83"/>
      <c r="F2" s="83"/>
      <c r="G2" s="83"/>
      <c r="H2" s="83"/>
      <c r="J2" s="86" t="s">
        <v>38</v>
      </c>
      <c r="K2" s="87"/>
      <c r="L2" s="87"/>
      <c r="M2" s="87"/>
      <c r="N2" s="87"/>
      <c r="O2" s="87"/>
      <c r="P2" s="88"/>
    </row>
    <row r="3" spans="2:16" ht="18.75" x14ac:dyDescent="0.3">
      <c r="B3" s="83" t="s">
        <v>35</v>
      </c>
      <c r="C3" s="83"/>
      <c r="D3" s="83"/>
      <c r="E3" s="83"/>
      <c r="F3" s="83"/>
      <c r="G3" s="83"/>
      <c r="H3" s="83"/>
      <c r="J3" s="86" t="s">
        <v>35</v>
      </c>
      <c r="K3" s="87"/>
      <c r="L3" s="87"/>
      <c r="M3" s="87"/>
      <c r="N3" s="87"/>
      <c r="O3" s="87"/>
      <c r="P3" s="88"/>
    </row>
    <row r="4" spans="2:16" ht="18.75" x14ac:dyDescent="0.25">
      <c r="B4" s="23"/>
      <c r="C4" s="75" t="s">
        <v>36</v>
      </c>
      <c r="D4" s="75"/>
      <c r="E4" s="75"/>
      <c r="F4" s="82" t="s">
        <v>37</v>
      </c>
      <c r="G4" s="82"/>
      <c r="H4" s="82"/>
      <c r="J4" s="23"/>
      <c r="K4" s="92" t="s">
        <v>36</v>
      </c>
      <c r="L4" s="93"/>
      <c r="M4" s="94"/>
      <c r="N4" s="89" t="s">
        <v>39</v>
      </c>
      <c r="O4" s="90"/>
      <c r="P4" s="91"/>
    </row>
    <row r="5" spans="2:16" ht="15.75" x14ac:dyDescent="0.25">
      <c r="B5" s="9" t="s">
        <v>0</v>
      </c>
      <c r="C5" s="9">
        <v>2023</v>
      </c>
      <c r="D5" s="9">
        <v>2024</v>
      </c>
      <c r="E5" s="9">
        <v>2025</v>
      </c>
      <c r="F5" s="9">
        <v>2023</v>
      </c>
      <c r="G5" s="9">
        <v>2024</v>
      </c>
      <c r="H5" s="9">
        <v>2025</v>
      </c>
      <c r="J5" s="9" t="s">
        <v>0</v>
      </c>
      <c r="K5" s="9">
        <v>2023</v>
      </c>
      <c r="L5" s="9">
        <v>2024</v>
      </c>
      <c r="M5" s="9">
        <v>2025</v>
      </c>
      <c r="N5" s="9">
        <v>2023</v>
      </c>
      <c r="O5" s="9">
        <v>2024</v>
      </c>
      <c r="P5" s="9">
        <v>2025</v>
      </c>
    </row>
    <row r="6" spans="2:16" ht="15.75" x14ac:dyDescent="0.25">
      <c r="B6" s="15" t="s">
        <v>93</v>
      </c>
      <c r="C6" s="26"/>
      <c r="D6" s="26"/>
      <c r="E6" s="26"/>
      <c r="F6" s="7"/>
      <c r="G6" s="7"/>
      <c r="H6" s="7"/>
      <c r="J6" s="15" t="s">
        <v>93</v>
      </c>
      <c r="K6" s="14"/>
      <c r="L6" s="14"/>
      <c r="M6" s="14"/>
      <c r="N6" s="7"/>
      <c r="O6" s="7"/>
      <c r="P6" s="7"/>
    </row>
    <row r="7" spans="2:16" ht="15.75" x14ac:dyDescent="0.25">
      <c r="B7" s="15" t="s">
        <v>94</v>
      </c>
      <c r="C7" s="26"/>
      <c r="D7" s="26"/>
      <c r="E7" s="26"/>
      <c r="F7" s="7"/>
      <c r="G7" s="7"/>
      <c r="H7" s="7"/>
      <c r="J7" s="15" t="s">
        <v>94</v>
      </c>
      <c r="K7" s="14"/>
      <c r="L7" s="14"/>
      <c r="M7" s="14"/>
      <c r="N7" s="7"/>
      <c r="O7" s="7"/>
      <c r="P7" s="7"/>
    </row>
    <row r="8" spans="2:16" ht="15.75" x14ac:dyDescent="0.25">
      <c r="B8" s="14" t="s">
        <v>3</v>
      </c>
      <c r="C8" s="26">
        <v>12158765</v>
      </c>
      <c r="D8" s="26">
        <v>12445718</v>
      </c>
      <c r="E8" s="26">
        <v>12629323</v>
      </c>
      <c r="F8" s="5">
        <f>C8/$C$26</f>
        <v>0.17360342525792616</v>
      </c>
      <c r="G8" s="7">
        <f>D8/$D$26</f>
        <v>0.16388073420601165</v>
      </c>
      <c r="H8" s="7">
        <f>E8/$E$26</f>
        <v>0.14459683365878143</v>
      </c>
      <c r="J8" s="14" t="s">
        <v>3</v>
      </c>
      <c r="K8" s="14">
        <v>12158765</v>
      </c>
      <c r="L8" s="14">
        <v>12445718</v>
      </c>
      <c r="M8" s="14">
        <v>12629323</v>
      </c>
      <c r="N8" s="7">
        <f>K8/$K$8</f>
        <v>1</v>
      </c>
      <c r="O8" s="7">
        <f t="shared" ref="O8:P8" si="0">L8/$K$8</f>
        <v>1.0236005054789692</v>
      </c>
      <c r="P8" s="7">
        <f t="shared" si="0"/>
        <v>1.0387011345313442</v>
      </c>
    </row>
    <row r="9" spans="2:16" ht="15.75" x14ac:dyDescent="0.25">
      <c r="B9" s="14" t="s">
        <v>95</v>
      </c>
      <c r="C9" s="26">
        <v>35311</v>
      </c>
      <c r="D9" s="26">
        <v>7826</v>
      </c>
      <c r="E9" s="26">
        <v>23959</v>
      </c>
      <c r="F9" s="5">
        <f t="shared" ref="F9:F42" si="1">C9/$C$26</f>
        <v>5.0417213831196095E-4</v>
      </c>
      <c r="G9" s="7">
        <f t="shared" ref="G9:G42" si="2">D9/$D$26</f>
        <v>1.0304995066546158E-4</v>
      </c>
      <c r="H9" s="7">
        <f t="shared" ref="H9:H42" si="3">E9/$E$26</f>
        <v>2.7431363800187425E-4</v>
      </c>
      <c r="J9" s="14" t="s">
        <v>95</v>
      </c>
      <c r="K9" s="14">
        <v>35311</v>
      </c>
      <c r="L9" s="14">
        <v>7826</v>
      </c>
      <c r="M9" s="14">
        <v>23959</v>
      </c>
      <c r="N9" s="7">
        <f>K9/$K$9</f>
        <v>1</v>
      </c>
      <c r="O9" s="7">
        <f t="shared" ref="O9:P9" si="4">L9/$K$9</f>
        <v>0.22163065333748691</v>
      </c>
      <c r="P9" s="7">
        <f t="shared" si="4"/>
        <v>0.67851377757639264</v>
      </c>
    </row>
    <row r="10" spans="2:16" ht="15.75" x14ac:dyDescent="0.25">
      <c r="B10" s="14" t="s">
        <v>96</v>
      </c>
      <c r="C10" s="26">
        <v>340816</v>
      </c>
      <c r="D10" s="26">
        <v>350593</v>
      </c>
      <c r="E10" s="26">
        <v>400519</v>
      </c>
      <c r="F10" s="5">
        <f t="shared" si="1"/>
        <v>4.8661870660963802E-3</v>
      </c>
      <c r="G10" s="7">
        <f t="shared" si="2"/>
        <v>4.6164824116606403E-3</v>
      </c>
      <c r="H10" s="7">
        <f t="shared" si="3"/>
        <v>4.5856598346705902E-3</v>
      </c>
      <c r="J10" s="14" t="s">
        <v>96</v>
      </c>
      <c r="K10" s="14">
        <v>340816</v>
      </c>
      <c r="L10" s="14">
        <v>350593</v>
      </c>
      <c r="M10" s="14">
        <v>400519</v>
      </c>
      <c r="N10" s="7">
        <f>K10/$K$10</f>
        <v>1</v>
      </c>
      <c r="O10" s="7">
        <f t="shared" ref="O10:P10" si="5">L10/$K$10</f>
        <v>1.0286870334726068</v>
      </c>
      <c r="P10" s="7">
        <f t="shared" si="5"/>
        <v>1.1751766348997699</v>
      </c>
    </row>
    <row r="11" spans="2:16" ht="15.75" x14ac:dyDescent="0.25">
      <c r="B11" s="14" t="s">
        <v>97</v>
      </c>
      <c r="C11" s="26">
        <v>75469</v>
      </c>
      <c r="D11" s="26">
        <v>106531</v>
      </c>
      <c r="E11" s="26">
        <v>119841</v>
      </c>
      <c r="F11" s="5">
        <f t="shared" si="1"/>
        <v>1.0775499732736367E-3</v>
      </c>
      <c r="G11" s="7">
        <f t="shared" si="2"/>
        <v>1.4027618571865945E-3</v>
      </c>
      <c r="H11" s="7">
        <f t="shared" si="3"/>
        <v>1.3720948575392383E-3</v>
      </c>
      <c r="J11" s="14" t="s">
        <v>97</v>
      </c>
      <c r="K11" s="14">
        <v>75469</v>
      </c>
      <c r="L11" s="14">
        <v>106531</v>
      </c>
      <c r="M11" s="14">
        <v>119841</v>
      </c>
      <c r="N11" s="7">
        <f>K11/$K$11</f>
        <v>1</v>
      </c>
      <c r="O11" s="7">
        <f t="shared" ref="O11:P11" si="6">L11/$K$11</f>
        <v>1.4115862142071578</v>
      </c>
      <c r="P11" s="7">
        <f t="shared" si="6"/>
        <v>1.5879500192131868</v>
      </c>
    </row>
    <row r="12" spans="2:16" ht="15.75" x14ac:dyDescent="0.25">
      <c r="B12" s="14" t="s">
        <v>98</v>
      </c>
      <c r="C12" s="26">
        <v>41662</v>
      </c>
      <c r="D12" s="26">
        <v>41672</v>
      </c>
      <c r="E12" s="26">
        <v>43887</v>
      </c>
      <c r="F12" s="5">
        <f t="shared" si="1"/>
        <v>5.9485201853113527E-4</v>
      </c>
      <c r="G12" s="7">
        <f t="shared" si="2"/>
        <v>5.4872189421557816E-4</v>
      </c>
      <c r="H12" s="7">
        <f t="shared" si="3"/>
        <v>5.0247517137561059E-4</v>
      </c>
      <c r="J12" s="14" t="s">
        <v>98</v>
      </c>
      <c r="K12" s="14">
        <v>41662</v>
      </c>
      <c r="L12" s="14">
        <v>41672</v>
      </c>
      <c r="M12" s="14">
        <v>43887</v>
      </c>
      <c r="N12" s="7">
        <f>K12/$K$12</f>
        <v>1</v>
      </c>
      <c r="O12" s="7">
        <f t="shared" ref="O12:P12" si="7">L12/$K$12</f>
        <v>1.0002400268830109</v>
      </c>
      <c r="P12" s="7">
        <f t="shared" si="7"/>
        <v>1.0534059814699246</v>
      </c>
    </row>
    <row r="13" spans="2:16" ht="15.75" x14ac:dyDescent="0.25">
      <c r="B13" s="21" t="s">
        <v>99</v>
      </c>
      <c r="C13" s="37">
        <v>12652023</v>
      </c>
      <c r="D13" s="37">
        <v>12952340</v>
      </c>
      <c r="E13" s="37">
        <v>13217529</v>
      </c>
      <c r="F13" s="5">
        <f t="shared" si="1"/>
        <v>0.18064618645413927</v>
      </c>
      <c r="G13" s="7">
        <f t="shared" si="2"/>
        <v>0.17055175031973993</v>
      </c>
      <c r="H13" s="7">
        <f t="shared" si="3"/>
        <v>0.15133137716036874</v>
      </c>
      <c r="J13" s="21" t="s">
        <v>99</v>
      </c>
      <c r="K13" s="21">
        <v>12652023</v>
      </c>
      <c r="L13" s="21">
        <v>12952340</v>
      </c>
      <c r="M13" s="21">
        <v>13217529</v>
      </c>
      <c r="N13" s="7">
        <f>K13/$K$13</f>
        <v>1</v>
      </c>
      <c r="O13" s="7">
        <f t="shared" ref="O13:P13" si="8">L13/$K$13</f>
        <v>1.023736678316187</v>
      </c>
      <c r="P13" s="7">
        <f t="shared" si="8"/>
        <v>1.0446968836525194</v>
      </c>
    </row>
    <row r="14" spans="2:16" ht="15.75" x14ac:dyDescent="0.25">
      <c r="B14" s="15" t="s">
        <v>4</v>
      </c>
      <c r="C14" s="26"/>
      <c r="D14" s="26"/>
      <c r="E14" s="26"/>
      <c r="F14" s="5"/>
      <c r="G14" s="7"/>
      <c r="H14" s="7"/>
      <c r="J14" s="15" t="s">
        <v>4</v>
      </c>
      <c r="K14" s="14"/>
      <c r="L14" s="14"/>
      <c r="M14" s="14"/>
      <c r="N14" s="7"/>
      <c r="O14" s="7"/>
      <c r="P14" s="7"/>
    </row>
    <row r="15" spans="2:16" ht="15.75" x14ac:dyDescent="0.25">
      <c r="B15" s="14" t="s">
        <v>100</v>
      </c>
      <c r="C15" s="26">
        <v>1083666</v>
      </c>
      <c r="D15" s="26">
        <v>1027714</v>
      </c>
      <c r="E15" s="26">
        <v>993123</v>
      </c>
      <c r="F15" s="5">
        <f t="shared" si="1"/>
        <v>1.5472634715413597E-2</v>
      </c>
      <c r="G15" s="7">
        <f t="shared" si="2"/>
        <v>1.3532567978303626E-2</v>
      </c>
      <c r="H15" s="7">
        <f t="shared" si="3"/>
        <v>1.1370557331830851E-2</v>
      </c>
      <c r="J15" s="14" t="s">
        <v>100</v>
      </c>
      <c r="K15" s="14">
        <v>1083666</v>
      </c>
      <c r="L15" s="14">
        <v>1027714</v>
      </c>
      <c r="M15" s="14">
        <v>993123</v>
      </c>
      <c r="N15" s="7">
        <f>K15/$K$15</f>
        <v>1</v>
      </c>
      <c r="O15" s="7">
        <f t="shared" ref="O15:P15" si="9">L15/$K$15</f>
        <v>0.94836785504020615</v>
      </c>
      <c r="P15" s="7">
        <f t="shared" si="9"/>
        <v>0.9164475031974797</v>
      </c>
    </row>
    <row r="16" spans="2:16" ht="15.75" x14ac:dyDescent="0.25">
      <c r="B16" s="14" t="s">
        <v>101</v>
      </c>
      <c r="C16" s="26">
        <v>8005452</v>
      </c>
      <c r="D16" s="26">
        <v>9621651</v>
      </c>
      <c r="E16" s="26">
        <v>8369639</v>
      </c>
      <c r="F16" s="5">
        <f t="shared" si="1"/>
        <v>0.1143022246040544</v>
      </c>
      <c r="G16" s="7">
        <f t="shared" si="2"/>
        <v>0.12669443660494367</v>
      </c>
      <c r="H16" s="7">
        <f t="shared" si="3"/>
        <v>9.5826458652379834E-2</v>
      </c>
      <c r="J16" s="14" t="s">
        <v>101</v>
      </c>
      <c r="K16" s="14">
        <v>8005452</v>
      </c>
      <c r="L16" s="14">
        <v>9621651</v>
      </c>
      <c r="M16" s="14">
        <v>8369639</v>
      </c>
      <c r="N16" s="7">
        <f>K16/$K$16</f>
        <v>1</v>
      </c>
      <c r="O16" s="7">
        <f t="shared" ref="O16:P16" si="10">L16/$K$16</f>
        <v>1.2018872888126741</v>
      </c>
      <c r="P16" s="7">
        <f t="shared" si="10"/>
        <v>1.0454923719485172</v>
      </c>
    </row>
    <row r="17" spans="2:16" ht="15.75" x14ac:dyDescent="0.25">
      <c r="B17" s="14" t="s">
        <v>5</v>
      </c>
      <c r="C17" s="26">
        <v>797382</v>
      </c>
      <c r="D17" s="26">
        <v>1021954</v>
      </c>
      <c r="E17" s="26">
        <v>2506086</v>
      </c>
      <c r="F17" s="5">
        <f t="shared" si="1"/>
        <v>1.138505814028116E-2</v>
      </c>
      <c r="G17" s="7">
        <f t="shared" si="2"/>
        <v>1.3456722371884887E-2</v>
      </c>
      <c r="H17" s="7">
        <f t="shared" si="3"/>
        <v>2.8692915722925205E-2</v>
      </c>
      <c r="J17" s="14" t="s">
        <v>5</v>
      </c>
      <c r="K17" s="14">
        <v>797382</v>
      </c>
      <c r="L17" s="14">
        <v>1021954</v>
      </c>
      <c r="M17" s="14">
        <v>2506086</v>
      </c>
      <c r="N17" s="7">
        <f>K17/$K$17</f>
        <v>1</v>
      </c>
      <c r="O17" s="7">
        <f t="shared" ref="O17:P17" si="11">L17/$K$17</f>
        <v>1.2816366559566181</v>
      </c>
      <c r="P17" s="7">
        <f t="shared" si="11"/>
        <v>3.1428926160861419</v>
      </c>
    </row>
    <row r="18" spans="2:16" ht="15.75" x14ac:dyDescent="0.25">
      <c r="B18" s="14" t="s">
        <v>102</v>
      </c>
      <c r="C18" s="26">
        <v>94502</v>
      </c>
      <c r="D18" s="26">
        <v>89211</v>
      </c>
      <c r="E18" s="26">
        <v>102015</v>
      </c>
      <c r="F18" s="5">
        <f t="shared" si="1"/>
        <v>1.3493040529794381E-3</v>
      </c>
      <c r="G18" s="7">
        <f t="shared" si="2"/>
        <v>1.1746983323302445E-3</v>
      </c>
      <c r="H18" s="7">
        <f t="shared" si="3"/>
        <v>1.1679997404216034E-3</v>
      </c>
      <c r="J18" s="14" t="s">
        <v>102</v>
      </c>
      <c r="K18" s="14">
        <v>94502</v>
      </c>
      <c r="L18" s="14">
        <v>89211</v>
      </c>
      <c r="M18" s="14">
        <v>102015</v>
      </c>
      <c r="N18" s="7">
        <f>K18/$K$18</f>
        <v>1</v>
      </c>
      <c r="O18" s="7">
        <f t="shared" ref="O18:P18" si="12">L18/$K$18</f>
        <v>0.94401176694673128</v>
      </c>
      <c r="P18" s="7">
        <f t="shared" si="12"/>
        <v>1.0795009629425831</v>
      </c>
    </row>
    <row r="19" spans="2:16" s="6" customFormat="1" ht="15.75" x14ac:dyDescent="0.25">
      <c r="B19" s="14" t="s">
        <v>103</v>
      </c>
      <c r="C19" s="26">
        <v>2242128</v>
      </c>
      <c r="D19" s="26">
        <v>229118</v>
      </c>
      <c r="E19" s="26">
        <v>290415</v>
      </c>
      <c r="F19" s="5">
        <f t="shared" si="1"/>
        <v>3.2013210278075396E-2</v>
      </c>
      <c r="G19" s="7">
        <f t="shared" si="2"/>
        <v>3.0169433422654263E-3</v>
      </c>
      <c r="H19" s="7">
        <f t="shared" si="3"/>
        <v>3.3250467540512671E-3</v>
      </c>
      <c r="I19"/>
      <c r="J19" s="14" t="s">
        <v>103</v>
      </c>
      <c r="K19" s="14">
        <v>2242128</v>
      </c>
      <c r="L19" s="14">
        <v>229118</v>
      </c>
      <c r="M19" s="14">
        <v>290415</v>
      </c>
      <c r="N19" s="7">
        <f>K19/$K$19</f>
        <v>1</v>
      </c>
      <c r="O19" s="7">
        <f t="shared" ref="O19:P19" si="13">L19/$K$19</f>
        <v>0.10218774307265241</v>
      </c>
      <c r="P19" s="7">
        <f t="shared" si="13"/>
        <v>0.12952650339320504</v>
      </c>
    </row>
    <row r="20" spans="2:16" ht="15.75" x14ac:dyDescent="0.25">
      <c r="B20" s="14" t="s">
        <v>104</v>
      </c>
      <c r="C20" s="26">
        <v>10114241</v>
      </c>
      <c r="D20" s="26">
        <v>13959667</v>
      </c>
      <c r="E20" s="26">
        <v>30048664</v>
      </c>
      <c r="F20" s="5">
        <f t="shared" si="1"/>
        <v>0.14441161429504989</v>
      </c>
      <c r="G20" s="7">
        <f t="shared" si="2"/>
        <v>0.18381586962129723</v>
      </c>
      <c r="H20" s="7">
        <f t="shared" si="3"/>
        <v>0.34403599227580239</v>
      </c>
      <c r="J20" s="14" t="s">
        <v>104</v>
      </c>
      <c r="K20" s="14">
        <v>10114241</v>
      </c>
      <c r="L20" s="14">
        <v>13959667</v>
      </c>
      <c r="M20" s="14">
        <v>30048664</v>
      </c>
      <c r="N20" s="7">
        <f>K20/$K$20</f>
        <v>1</v>
      </c>
      <c r="O20" s="7">
        <f t="shared" ref="O20:P20" si="14">L20/$K$20</f>
        <v>1.380199166699706</v>
      </c>
      <c r="P20" s="7">
        <f t="shared" si="14"/>
        <v>2.9709262415242033</v>
      </c>
    </row>
    <row r="21" spans="2:16" ht="15.75" x14ac:dyDescent="0.25">
      <c r="B21" s="14" t="s">
        <v>105</v>
      </c>
      <c r="C21" s="26">
        <v>343803</v>
      </c>
      <c r="D21" s="26">
        <v>656355</v>
      </c>
      <c r="E21" s="26">
        <v>1063361</v>
      </c>
      <c r="F21" s="5">
        <f t="shared" si="1"/>
        <v>4.9088355942359923E-3</v>
      </c>
      <c r="G21" s="7">
        <f t="shared" si="2"/>
        <v>8.6426463543354242E-3</v>
      </c>
      <c r="H21" s="7">
        <f t="shared" si="3"/>
        <v>1.2174732852761425E-2</v>
      </c>
      <c r="J21" s="14" t="s">
        <v>105</v>
      </c>
      <c r="K21" s="14">
        <v>343803</v>
      </c>
      <c r="L21" s="14">
        <v>656355</v>
      </c>
      <c r="M21" s="14">
        <v>1063361</v>
      </c>
      <c r="N21" s="7">
        <f>K21/$K$21</f>
        <v>1</v>
      </c>
      <c r="O21" s="7">
        <f t="shared" ref="O21:P21" si="15">L21/$K$21</f>
        <v>1.9091020148166247</v>
      </c>
      <c r="P21" s="7">
        <f t="shared" si="15"/>
        <v>3.0929369435403413</v>
      </c>
    </row>
    <row r="22" spans="2:16" ht="15.75" x14ac:dyDescent="0.25">
      <c r="B22" s="14" t="s">
        <v>106</v>
      </c>
      <c r="C22" s="26">
        <v>1874</v>
      </c>
      <c r="D22" s="26">
        <v>16137</v>
      </c>
      <c r="E22" s="26">
        <v>650643</v>
      </c>
      <c r="F22" s="5">
        <f t="shared" si="1"/>
        <v>2.6757061176308087E-5</v>
      </c>
      <c r="G22" s="7">
        <f t="shared" si="2"/>
        <v>2.1248620673250108E-4</v>
      </c>
      <c r="H22" s="7">
        <f t="shared" si="3"/>
        <v>7.4494030790289018E-3</v>
      </c>
      <c r="J22" s="14" t="s">
        <v>106</v>
      </c>
      <c r="K22" s="14">
        <v>1874</v>
      </c>
      <c r="L22" s="14">
        <v>16137</v>
      </c>
      <c r="M22" s="14">
        <v>650643</v>
      </c>
      <c r="N22" s="7">
        <f>K22/$K$22</f>
        <v>1</v>
      </c>
      <c r="O22" s="7">
        <f t="shared" ref="O22:P22" si="16">L22/$K$22</f>
        <v>8.6109925293489855</v>
      </c>
      <c r="P22" s="7">
        <f t="shared" si="16"/>
        <v>347.19477054429029</v>
      </c>
    </row>
    <row r="23" spans="2:16" ht="15.75" x14ac:dyDescent="0.25">
      <c r="B23" s="14" t="s">
        <v>107</v>
      </c>
      <c r="C23" s="26"/>
      <c r="D23" s="26"/>
      <c r="E23" s="26">
        <v>811</v>
      </c>
      <c r="F23" s="5"/>
      <c r="G23" s="7"/>
      <c r="H23" s="7">
        <f t="shared" si="3"/>
        <v>9.2853775374397924E-6</v>
      </c>
      <c r="J23" s="14" t="s">
        <v>107</v>
      </c>
      <c r="K23" s="14"/>
      <c r="L23" s="14"/>
      <c r="M23" s="14">
        <v>811</v>
      </c>
      <c r="N23" s="7"/>
      <c r="O23" s="7"/>
      <c r="P23" s="7"/>
    </row>
    <row r="24" spans="2:16" ht="15.75" x14ac:dyDescent="0.25">
      <c r="B24" s="14" t="s">
        <v>108</v>
      </c>
      <c r="C24" s="11">
        <v>34702516</v>
      </c>
      <c r="D24" s="26">
        <v>36369606</v>
      </c>
      <c r="E24" s="26">
        <v>30099343</v>
      </c>
      <c r="F24" s="5">
        <f t="shared" si="1"/>
        <v>0.49548417480459456</v>
      </c>
      <c r="G24" s="7">
        <f t="shared" si="2"/>
        <v>0.4789018788681671</v>
      </c>
      <c r="H24" s="7">
        <f t="shared" si="3"/>
        <v>0.3446162310528923</v>
      </c>
      <c r="J24" s="14" t="s">
        <v>108</v>
      </c>
      <c r="K24" s="17">
        <v>34702516</v>
      </c>
      <c r="L24" s="14">
        <v>36369606</v>
      </c>
      <c r="M24" s="14">
        <v>30099343</v>
      </c>
      <c r="N24" s="7">
        <f>K24/$K$24</f>
        <v>1</v>
      </c>
      <c r="O24" s="7">
        <f t="shared" ref="O24:P24" si="17">L24/$K$24</f>
        <v>1.0480394562745825</v>
      </c>
      <c r="P24" s="7">
        <f t="shared" si="17"/>
        <v>0.86735333541810056</v>
      </c>
    </row>
    <row r="25" spans="2:16" ht="15.75" x14ac:dyDescent="0.25">
      <c r="B25" s="21" t="s">
        <v>109</v>
      </c>
      <c r="C25" s="37">
        <v>57385564</v>
      </c>
      <c r="D25" s="37">
        <v>62991413</v>
      </c>
      <c r="E25" s="37">
        <v>74124100</v>
      </c>
      <c r="F25" s="5">
        <f t="shared" si="1"/>
        <v>0.81935381354586079</v>
      </c>
      <c r="G25" s="7">
        <f t="shared" si="2"/>
        <v>0.8294482496802601</v>
      </c>
      <c r="H25" s="7">
        <f t="shared" si="3"/>
        <v>0.84866862283963129</v>
      </c>
      <c r="J25" s="21" t="s">
        <v>109</v>
      </c>
      <c r="K25" s="21">
        <v>57385564</v>
      </c>
      <c r="L25" s="21">
        <v>62991413</v>
      </c>
      <c r="M25" s="21">
        <v>74124100</v>
      </c>
      <c r="N25" s="7">
        <f>K25/$K$25</f>
        <v>1</v>
      </c>
      <c r="O25" s="7">
        <f t="shared" ref="O25:P25" si="18">L25/$K$25</f>
        <v>1.0976874427861334</v>
      </c>
      <c r="P25" s="7">
        <f t="shared" si="18"/>
        <v>1.2916854838265597</v>
      </c>
    </row>
    <row r="26" spans="2:16" ht="15.75" x14ac:dyDescent="0.25">
      <c r="B26" s="16" t="s">
        <v>110</v>
      </c>
      <c r="C26" s="38">
        <v>70037587</v>
      </c>
      <c r="D26" s="39">
        <v>75943753</v>
      </c>
      <c r="E26" s="39">
        <v>87341629</v>
      </c>
      <c r="F26" s="5">
        <f t="shared" si="1"/>
        <v>1</v>
      </c>
      <c r="G26" s="7">
        <f t="shared" si="2"/>
        <v>1</v>
      </c>
      <c r="H26" s="7">
        <f t="shared" si="3"/>
        <v>1</v>
      </c>
      <c r="J26" s="16" t="s">
        <v>110</v>
      </c>
      <c r="K26" s="18">
        <v>70037587</v>
      </c>
      <c r="L26" s="16">
        <v>75943753</v>
      </c>
      <c r="M26" s="16">
        <v>87341629</v>
      </c>
      <c r="N26" s="7">
        <f>K26/$K$26</f>
        <v>1</v>
      </c>
      <c r="O26" s="7">
        <f t="shared" ref="O26:P26" si="19">L26/$K$26</f>
        <v>1.0843285191992693</v>
      </c>
      <c r="P26" s="7">
        <f t="shared" si="19"/>
        <v>1.2470679351074732</v>
      </c>
    </row>
    <row r="27" spans="2:16" ht="15.75" x14ac:dyDescent="0.25">
      <c r="B27" s="15" t="s">
        <v>111</v>
      </c>
      <c r="C27" s="26"/>
      <c r="D27" s="26"/>
      <c r="E27" s="26"/>
      <c r="F27" s="5"/>
      <c r="G27" s="7"/>
      <c r="H27" s="7"/>
      <c r="J27" s="15" t="s">
        <v>111</v>
      </c>
      <c r="K27" s="14"/>
      <c r="L27" s="14"/>
      <c r="M27" s="14"/>
      <c r="N27" s="7"/>
      <c r="O27" s="7"/>
      <c r="P27" s="7"/>
    </row>
    <row r="28" spans="2:16" ht="15.75" x14ac:dyDescent="0.25">
      <c r="B28" s="15" t="s">
        <v>112</v>
      </c>
      <c r="C28" s="26"/>
      <c r="D28" s="26"/>
      <c r="E28" s="26"/>
      <c r="F28" s="5"/>
      <c r="G28" s="7"/>
      <c r="H28" s="7"/>
      <c r="J28" s="15" t="s">
        <v>112</v>
      </c>
      <c r="K28" s="14"/>
      <c r="L28" s="14"/>
      <c r="M28" s="14"/>
      <c r="N28" s="7"/>
      <c r="O28" s="7"/>
      <c r="P28" s="7"/>
    </row>
    <row r="29" spans="2:16" ht="15.75" x14ac:dyDescent="0.25">
      <c r="B29" s="14" t="s">
        <v>113</v>
      </c>
      <c r="C29" s="26">
        <v>1240879</v>
      </c>
      <c r="D29" s="26">
        <v>1240879</v>
      </c>
      <c r="E29" s="26">
        <v>1240879</v>
      </c>
      <c r="F29" s="5">
        <f t="shared" si="1"/>
        <v>1.7717329410563504E-2</v>
      </c>
      <c r="G29" s="7">
        <f t="shared" si="2"/>
        <v>1.6339447959597152E-2</v>
      </c>
      <c r="H29" s="7">
        <f t="shared" si="3"/>
        <v>1.4207188647695133E-2</v>
      </c>
      <c r="J29" s="14" t="s">
        <v>113</v>
      </c>
      <c r="K29" s="14">
        <v>1240879</v>
      </c>
      <c r="L29" s="14">
        <v>1240879</v>
      </c>
      <c r="M29" s="14">
        <v>1240879</v>
      </c>
      <c r="N29" s="7">
        <f>K29/$K$29</f>
        <v>1</v>
      </c>
      <c r="O29" s="7">
        <f t="shared" ref="O29:P29" si="20">L29/$K$29</f>
        <v>1</v>
      </c>
      <c r="P29" s="7">
        <f t="shared" si="20"/>
        <v>1</v>
      </c>
    </row>
    <row r="30" spans="2:16" ht="15.75" x14ac:dyDescent="0.25">
      <c r="B30" s="14" t="s">
        <v>1</v>
      </c>
      <c r="C30" s="26">
        <v>21539063</v>
      </c>
      <c r="D30" s="26">
        <v>27526690</v>
      </c>
      <c r="E30" s="26">
        <v>35121659</v>
      </c>
      <c r="F30" s="5">
        <f t="shared" si="1"/>
        <v>0.307535766473508</v>
      </c>
      <c r="G30" s="7">
        <f t="shared" si="2"/>
        <v>0.36246154440115702</v>
      </c>
      <c r="H30" s="7">
        <f t="shared" si="3"/>
        <v>0.40211820413837257</v>
      </c>
      <c r="J30" s="14" t="s">
        <v>1</v>
      </c>
      <c r="K30" s="14">
        <v>21539063</v>
      </c>
      <c r="L30" s="14">
        <v>27526690</v>
      </c>
      <c r="M30" s="14">
        <v>35121659</v>
      </c>
      <c r="N30" s="7">
        <f>K30/$K$30</f>
        <v>1</v>
      </c>
      <c r="O30" s="7">
        <f t="shared" ref="O30:P30" si="21">L30/$K$30</f>
        <v>1.277989205008593</v>
      </c>
      <c r="P30" s="7">
        <f t="shared" si="21"/>
        <v>1.6306029189849158</v>
      </c>
    </row>
    <row r="31" spans="2:16" ht="15.75" x14ac:dyDescent="0.25">
      <c r="B31" s="16" t="s">
        <v>114</v>
      </c>
      <c r="C31" s="39">
        <v>22779942</v>
      </c>
      <c r="D31" s="39">
        <v>28767569</v>
      </c>
      <c r="E31" s="39">
        <v>36362538</v>
      </c>
      <c r="F31" s="5">
        <f t="shared" si="1"/>
        <v>0.32525309588407153</v>
      </c>
      <c r="G31" s="7">
        <f t="shared" si="2"/>
        <v>0.37880099236075415</v>
      </c>
      <c r="H31" s="7">
        <f t="shared" si="3"/>
        <v>0.41632539278606767</v>
      </c>
      <c r="J31" s="16" t="s">
        <v>114</v>
      </c>
      <c r="K31" s="16">
        <v>22779942</v>
      </c>
      <c r="L31" s="16">
        <v>28767569</v>
      </c>
      <c r="M31" s="16">
        <v>36362538</v>
      </c>
      <c r="N31" s="7">
        <f>K31/$K$31</f>
        <v>1</v>
      </c>
      <c r="O31" s="7">
        <f t="shared" ref="O31:P31" si="22">L31/$K$31</f>
        <v>1.2628464550085334</v>
      </c>
      <c r="P31" s="7">
        <f t="shared" si="22"/>
        <v>1.5962524399754836</v>
      </c>
    </row>
    <row r="32" spans="2:16" ht="15.75" x14ac:dyDescent="0.25">
      <c r="B32" s="15" t="s">
        <v>115</v>
      </c>
      <c r="C32" s="26"/>
      <c r="D32" s="26"/>
      <c r="E32" s="26"/>
      <c r="F32" s="5"/>
      <c r="G32" s="7"/>
      <c r="H32" s="7"/>
      <c r="J32" s="15" t="s">
        <v>115</v>
      </c>
      <c r="K32" s="14"/>
      <c r="L32" s="14"/>
      <c r="M32" s="14"/>
      <c r="N32" s="7"/>
      <c r="O32" s="7"/>
      <c r="P32" s="7"/>
    </row>
    <row r="33" spans="2:16" ht="15.75" x14ac:dyDescent="0.25">
      <c r="B33" s="14" t="s">
        <v>116</v>
      </c>
      <c r="C33" s="26">
        <v>148102</v>
      </c>
      <c r="D33" s="26">
        <v>289306</v>
      </c>
      <c r="E33" s="26">
        <v>355322</v>
      </c>
      <c r="F33" s="5">
        <f t="shared" si="1"/>
        <v>2.114607403593159E-3</v>
      </c>
      <c r="G33" s="7">
        <f t="shared" si="2"/>
        <v>3.8094772587812455E-3</v>
      </c>
      <c r="H33" s="7">
        <f t="shared" si="3"/>
        <v>4.0681860879878944E-3</v>
      </c>
      <c r="J33" s="14" t="s">
        <v>116</v>
      </c>
      <c r="K33" s="14">
        <v>148102</v>
      </c>
      <c r="L33" s="14">
        <v>289306</v>
      </c>
      <c r="M33" s="14">
        <v>355322</v>
      </c>
      <c r="N33" s="7">
        <f>K33/$K$33</f>
        <v>1</v>
      </c>
      <c r="O33" s="7">
        <f t="shared" ref="O33:P33" si="23">L33/$K$33</f>
        <v>1.9534239915733751</v>
      </c>
      <c r="P33" s="7">
        <f t="shared" si="23"/>
        <v>2.3991708417171949</v>
      </c>
    </row>
    <row r="34" spans="2:16" ht="15.75" x14ac:dyDescent="0.25">
      <c r="B34" s="14" t="s">
        <v>117</v>
      </c>
      <c r="C34" s="26">
        <v>559591</v>
      </c>
      <c r="D34" s="26">
        <v>663559</v>
      </c>
      <c r="E34" s="26">
        <v>743615</v>
      </c>
      <c r="F34" s="5">
        <f t="shared" si="1"/>
        <v>7.9898669267403511E-3</v>
      </c>
      <c r="G34" s="7">
        <f t="shared" si="2"/>
        <v>8.7375060329188629E-3</v>
      </c>
      <c r="H34" s="7">
        <f t="shared" si="3"/>
        <v>8.5138668526551064E-3</v>
      </c>
      <c r="J34" s="14" t="s">
        <v>117</v>
      </c>
      <c r="K34" s="14">
        <v>559591</v>
      </c>
      <c r="L34" s="14">
        <v>663559</v>
      </c>
      <c r="M34" s="14">
        <v>743615</v>
      </c>
      <c r="N34" s="7">
        <f>K34/$K$34</f>
        <v>1</v>
      </c>
      <c r="O34" s="7">
        <f t="shared" ref="O34:P34" si="24">L34/$K$34</f>
        <v>1.1857928379834557</v>
      </c>
      <c r="P34" s="7">
        <f t="shared" si="24"/>
        <v>1.3288544669231634</v>
      </c>
    </row>
    <row r="35" spans="2:16" ht="15.75" x14ac:dyDescent="0.25">
      <c r="B35" s="14" t="s">
        <v>118</v>
      </c>
      <c r="C35" s="26">
        <v>633022</v>
      </c>
      <c r="D35" s="26">
        <v>877658</v>
      </c>
      <c r="E35" s="26">
        <v>927367</v>
      </c>
      <c r="F35" s="5">
        <f t="shared" si="1"/>
        <v>9.0383182390335638E-3</v>
      </c>
      <c r="G35" s="7">
        <f t="shared" si="2"/>
        <v>1.1556684589975426E-2</v>
      </c>
      <c r="H35" s="7">
        <f t="shared" si="3"/>
        <v>1.0617697547179936E-2</v>
      </c>
      <c r="J35" s="14" t="s">
        <v>118</v>
      </c>
      <c r="K35" s="14">
        <v>633022</v>
      </c>
      <c r="L35" s="14">
        <v>877658</v>
      </c>
      <c r="M35" s="14">
        <v>927367</v>
      </c>
      <c r="N35" s="7">
        <f>K35/$K$35</f>
        <v>1</v>
      </c>
      <c r="O35" s="7">
        <f t="shared" ref="O35:P35" si="25">L35/$K$35</f>
        <v>1.3864573427147873</v>
      </c>
      <c r="P35" s="7">
        <f t="shared" si="25"/>
        <v>1.4649838394242223</v>
      </c>
    </row>
    <row r="36" spans="2:16" ht="15.75" x14ac:dyDescent="0.25">
      <c r="B36" s="21" t="s">
        <v>119</v>
      </c>
      <c r="C36" s="40">
        <v>1340715</v>
      </c>
      <c r="D36" s="37">
        <v>1830523</v>
      </c>
      <c r="E36" s="37">
        <v>2026304</v>
      </c>
      <c r="F36" s="5">
        <f t="shared" si="1"/>
        <v>1.9142792569367073E-2</v>
      </c>
      <c r="G36" s="7">
        <f t="shared" si="2"/>
        <v>2.4103667881675533E-2</v>
      </c>
      <c r="H36" s="7">
        <f t="shared" si="3"/>
        <v>2.3199750487822936E-2</v>
      </c>
      <c r="J36" s="21" t="s">
        <v>119</v>
      </c>
      <c r="K36" s="22">
        <v>1340715</v>
      </c>
      <c r="L36" s="21">
        <v>1830523</v>
      </c>
      <c r="M36" s="21">
        <v>2026304</v>
      </c>
      <c r="N36" s="7">
        <f>K36/$K$36</f>
        <v>1</v>
      </c>
      <c r="O36" s="7">
        <f t="shared" ref="O36:P36" si="26">L36/$K$36</f>
        <v>1.3653334228378142</v>
      </c>
      <c r="P36" s="7">
        <f t="shared" si="26"/>
        <v>1.5113607291631703</v>
      </c>
    </row>
    <row r="37" spans="2:16" ht="15.75" x14ac:dyDescent="0.25">
      <c r="B37" s="15" t="s">
        <v>2</v>
      </c>
      <c r="C37" s="26"/>
      <c r="D37" s="26"/>
      <c r="E37" s="26"/>
      <c r="F37" s="5"/>
      <c r="G37" s="7"/>
      <c r="H37" s="7"/>
      <c r="J37" s="15" t="s">
        <v>2</v>
      </c>
      <c r="K37" s="14"/>
      <c r="L37" s="14"/>
      <c r="M37" s="14"/>
      <c r="N37" s="7"/>
      <c r="O37" s="7"/>
      <c r="P37" s="7"/>
    </row>
    <row r="38" spans="2:16" ht="15.75" x14ac:dyDescent="0.25">
      <c r="B38" s="14" t="s">
        <v>120</v>
      </c>
      <c r="C38" s="26">
        <v>53617</v>
      </c>
      <c r="D38" s="26">
        <v>57987</v>
      </c>
      <c r="E38" s="26">
        <v>52285</v>
      </c>
      <c r="F38" s="5">
        <f t="shared" si="1"/>
        <v>7.6554607742268445E-4</v>
      </c>
      <c r="G38" s="7">
        <f t="shared" si="2"/>
        <v>7.6355194086865838E-4</v>
      </c>
      <c r="H38" s="7">
        <f t="shared" si="3"/>
        <v>5.986263434587418E-4</v>
      </c>
      <c r="J38" s="14" t="s">
        <v>120</v>
      </c>
      <c r="K38" s="14">
        <v>53617</v>
      </c>
      <c r="L38" s="14">
        <v>57987</v>
      </c>
      <c r="M38" s="14">
        <v>52285</v>
      </c>
      <c r="N38" s="7">
        <f>K38/$K$38</f>
        <v>1</v>
      </c>
      <c r="O38" s="7">
        <f t="shared" ref="O38:P38" si="27">L38/$K$38</f>
        <v>1.0815040005968257</v>
      </c>
      <c r="P38" s="7">
        <f t="shared" si="27"/>
        <v>0.97515713299886231</v>
      </c>
    </row>
    <row r="39" spans="2:16" ht="15.75" x14ac:dyDescent="0.25">
      <c r="B39" s="14" t="s">
        <v>121</v>
      </c>
      <c r="C39" s="26">
        <v>45813308</v>
      </c>
      <c r="D39" s="26">
        <v>44049984</v>
      </c>
      <c r="E39" s="26">
        <v>48900502</v>
      </c>
      <c r="F39" s="5">
        <f t="shared" si="1"/>
        <v>0.65412459169959691</v>
      </c>
      <c r="G39" s="7">
        <f t="shared" si="2"/>
        <v>0.58003433146107486</v>
      </c>
      <c r="H39" s="7">
        <f t="shared" si="3"/>
        <v>0.55987623038265066</v>
      </c>
      <c r="J39" s="14" t="s">
        <v>121</v>
      </c>
      <c r="K39" s="14">
        <v>45813308</v>
      </c>
      <c r="L39" s="14">
        <v>44049984</v>
      </c>
      <c r="M39" s="14">
        <v>48900502</v>
      </c>
      <c r="N39" s="7">
        <f>K39/$K$39</f>
        <v>1</v>
      </c>
      <c r="O39" s="7">
        <f t="shared" ref="O39:P39" si="28">L39/$K$39</f>
        <v>0.96151065974105165</v>
      </c>
      <c r="P39" s="7">
        <f t="shared" si="28"/>
        <v>1.0673864022218174</v>
      </c>
    </row>
    <row r="40" spans="2:16" ht="15.75" x14ac:dyDescent="0.25">
      <c r="B40" s="14" t="s">
        <v>107</v>
      </c>
      <c r="C40" s="26">
        <v>50005</v>
      </c>
      <c r="D40" s="26">
        <v>1237690</v>
      </c>
      <c r="E40" s="26"/>
      <c r="F40" s="5">
        <f t="shared" si="1"/>
        <v>7.1397376954177472E-4</v>
      </c>
      <c r="G40" s="7">
        <f t="shared" si="2"/>
        <v>1.6297456355626776E-2</v>
      </c>
      <c r="H40" s="7"/>
      <c r="J40" s="14" t="s">
        <v>107</v>
      </c>
      <c r="K40" s="14">
        <v>50005</v>
      </c>
      <c r="L40" s="14">
        <v>1237690</v>
      </c>
      <c r="M40" s="14"/>
      <c r="N40" s="7">
        <f>K40/$K$40</f>
        <v>1</v>
      </c>
      <c r="O40" s="7">
        <f t="shared" ref="O40:P40" si="29">L40/$K$40</f>
        <v>24.751324867513247</v>
      </c>
      <c r="P40" s="7">
        <f t="shared" si="29"/>
        <v>0</v>
      </c>
    </row>
    <row r="41" spans="2:16" ht="15.75" x14ac:dyDescent="0.25">
      <c r="B41" s="21" t="s">
        <v>122</v>
      </c>
      <c r="C41" s="37">
        <v>45916930</v>
      </c>
      <c r="D41" s="37">
        <v>45345661</v>
      </c>
      <c r="E41" s="37">
        <v>48952787</v>
      </c>
      <c r="F41" s="5">
        <f t="shared" si="1"/>
        <v>0.6556041115465614</v>
      </c>
      <c r="G41" s="7">
        <f t="shared" si="2"/>
        <v>0.59709533975757034</v>
      </c>
      <c r="H41" s="7">
        <f t="shared" si="3"/>
        <v>0.56047485672610942</v>
      </c>
      <c r="J41" s="21" t="s">
        <v>122</v>
      </c>
      <c r="K41" s="21">
        <v>45916930</v>
      </c>
      <c r="L41" s="21">
        <v>45345661</v>
      </c>
      <c r="M41" s="21">
        <v>48952787</v>
      </c>
      <c r="N41" s="7">
        <f>K41/$K$41</f>
        <v>1</v>
      </c>
      <c r="O41" s="7">
        <f t="shared" ref="O41:P41" si="30">L41/$K$41</f>
        <v>0.98755864122448955</v>
      </c>
      <c r="P41" s="7">
        <f t="shared" si="30"/>
        <v>1.0661162886978723</v>
      </c>
    </row>
    <row r="42" spans="2:16" ht="15.75" x14ac:dyDescent="0.25">
      <c r="B42" s="16" t="s">
        <v>123</v>
      </c>
      <c r="C42" s="39">
        <v>70037587</v>
      </c>
      <c r="D42" s="39">
        <v>75943753</v>
      </c>
      <c r="E42" s="39">
        <v>87341629</v>
      </c>
      <c r="F42" s="5">
        <f t="shared" si="1"/>
        <v>1</v>
      </c>
      <c r="G42" s="7">
        <f t="shared" si="2"/>
        <v>1</v>
      </c>
      <c r="H42" s="7">
        <f t="shared" si="3"/>
        <v>1</v>
      </c>
      <c r="J42" s="16" t="s">
        <v>123</v>
      </c>
      <c r="K42" s="16">
        <v>70037587</v>
      </c>
      <c r="L42" s="16">
        <v>75943753</v>
      </c>
      <c r="M42" s="16">
        <v>87341629</v>
      </c>
      <c r="N42" s="7">
        <f>K42/$K$42</f>
        <v>1</v>
      </c>
      <c r="O42" s="7">
        <f t="shared" ref="O42:P42" si="31">L42/$K$42</f>
        <v>1.0843285191992693</v>
      </c>
      <c r="P42" s="7">
        <f t="shared" si="31"/>
        <v>1.2470679351074732</v>
      </c>
    </row>
    <row r="47" spans="2:16" ht="18.75" x14ac:dyDescent="0.3">
      <c r="B47" s="83" t="s">
        <v>34</v>
      </c>
      <c r="C47" s="83"/>
      <c r="D47" s="83"/>
      <c r="E47" s="83"/>
      <c r="F47" s="83"/>
      <c r="G47" s="83"/>
      <c r="H47" s="83"/>
      <c r="J47" s="86" t="s">
        <v>38</v>
      </c>
      <c r="K47" s="87"/>
      <c r="L47" s="87"/>
      <c r="M47" s="87"/>
      <c r="N47" s="87"/>
      <c r="O47" s="87"/>
      <c r="P47" s="88"/>
    </row>
    <row r="48" spans="2:16" ht="18.75" x14ac:dyDescent="0.25">
      <c r="B48" s="74" t="s">
        <v>40</v>
      </c>
      <c r="C48" s="74"/>
      <c r="D48" s="74"/>
      <c r="E48" s="74"/>
      <c r="F48" s="74"/>
      <c r="G48" s="74"/>
      <c r="H48" s="74"/>
      <c r="J48" s="95" t="s">
        <v>40</v>
      </c>
      <c r="K48" s="96"/>
      <c r="L48" s="96"/>
      <c r="M48" s="96"/>
      <c r="N48" s="96"/>
      <c r="O48" s="96"/>
      <c r="P48" s="97"/>
    </row>
    <row r="49" spans="2:16" ht="15.75" x14ac:dyDescent="0.25">
      <c r="B49" s="8"/>
      <c r="C49" s="75" t="s">
        <v>36</v>
      </c>
      <c r="D49" s="75"/>
      <c r="E49" s="75"/>
      <c r="F49" s="82" t="s">
        <v>37</v>
      </c>
      <c r="G49" s="82"/>
      <c r="H49" s="82"/>
      <c r="J49" s="8"/>
      <c r="K49" s="92" t="s">
        <v>36</v>
      </c>
      <c r="L49" s="93"/>
      <c r="M49" s="94"/>
      <c r="N49" s="89" t="s">
        <v>39</v>
      </c>
      <c r="O49" s="90"/>
      <c r="P49" s="91"/>
    </row>
    <row r="50" spans="2:16" ht="15.75" x14ac:dyDescent="0.25">
      <c r="B50" s="4" t="s">
        <v>8</v>
      </c>
      <c r="C50" s="3">
        <v>2023</v>
      </c>
      <c r="D50" s="3">
        <v>2024</v>
      </c>
      <c r="E50" s="3">
        <v>2025</v>
      </c>
      <c r="F50" s="3">
        <v>2023</v>
      </c>
      <c r="G50" s="3">
        <v>2024</v>
      </c>
      <c r="H50" s="3">
        <v>2025</v>
      </c>
      <c r="J50" s="4" t="s">
        <v>8</v>
      </c>
      <c r="K50" s="3">
        <v>2023</v>
      </c>
      <c r="L50" s="3">
        <v>2024</v>
      </c>
      <c r="M50" s="3">
        <v>2025</v>
      </c>
      <c r="N50" s="3">
        <v>2023</v>
      </c>
      <c r="O50" s="3">
        <v>2024</v>
      </c>
      <c r="P50" s="3">
        <v>2025</v>
      </c>
    </row>
    <row r="51" spans="2:16" ht="15.75" x14ac:dyDescent="0.25">
      <c r="B51" s="20" t="s">
        <v>126</v>
      </c>
      <c r="C51" s="20">
        <v>203894438</v>
      </c>
      <c r="D51" s="20">
        <v>135485652</v>
      </c>
      <c r="E51" s="20">
        <v>159292229</v>
      </c>
      <c r="F51" s="7">
        <f>C51/$C$51</f>
        <v>1</v>
      </c>
      <c r="G51" s="7">
        <f>D51/$D$51</f>
        <v>1</v>
      </c>
      <c r="H51" s="7">
        <f>E51/$E$51</f>
        <v>1</v>
      </c>
      <c r="J51" s="20" t="s">
        <v>126</v>
      </c>
      <c r="K51" s="20">
        <v>135485652</v>
      </c>
      <c r="L51" s="20">
        <v>159292229</v>
      </c>
      <c r="M51" s="20">
        <v>203894438</v>
      </c>
      <c r="N51" s="7">
        <f>K51/$K$51</f>
        <v>1</v>
      </c>
      <c r="O51" s="7">
        <f t="shared" ref="O51:P51" si="32">L51/$K$51</f>
        <v>1.1757129013188792</v>
      </c>
      <c r="P51" s="7">
        <f t="shared" si="32"/>
        <v>1.5049153544317742</v>
      </c>
    </row>
    <row r="52" spans="2:16" ht="15.75" x14ac:dyDescent="0.25">
      <c r="B52" s="20" t="s">
        <v>127</v>
      </c>
      <c r="C52" s="20">
        <v>-181714342</v>
      </c>
      <c r="D52" s="20">
        <v>-125813871</v>
      </c>
      <c r="E52" s="20">
        <v>-147065100</v>
      </c>
      <c r="F52" s="7">
        <f t="shared" ref="F52:F63" si="33">C52/$C$51</f>
        <v>-0.89121774866659187</v>
      </c>
      <c r="G52" s="7">
        <f t="shared" ref="G52:G63" si="34">D52/$D$51</f>
        <v>-0.92861398342017798</v>
      </c>
      <c r="H52" s="7">
        <f t="shared" ref="H52:H63" si="35">E52/$E$51</f>
        <v>-0.92324089456994163</v>
      </c>
      <c r="J52" s="20" t="s">
        <v>127</v>
      </c>
      <c r="K52" s="20">
        <v>-125813871</v>
      </c>
      <c r="L52" s="20">
        <v>-147065100</v>
      </c>
      <c r="M52" s="20">
        <v>-181714342</v>
      </c>
      <c r="N52" s="7">
        <f>K52/$K$52</f>
        <v>1</v>
      </c>
      <c r="O52" s="7">
        <f t="shared" ref="O52:P52" si="36">L52/$K$52</f>
        <v>1.1689100639785577</v>
      </c>
      <c r="P52" s="7">
        <f t="shared" si="36"/>
        <v>1.4443108741165749</v>
      </c>
    </row>
    <row r="53" spans="2:16" ht="15.75" x14ac:dyDescent="0.25">
      <c r="B53" s="20" t="s">
        <v>128</v>
      </c>
      <c r="C53" s="20">
        <v>22180096</v>
      </c>
      <c r="D53" s="20">
        <v>9671781</v>
      </c>
      <c r="E53" s="20">
        <v>12227129</v>
      </c>
      <c r="F53" s="7">
        <f t="shared" si="33"/>
        <v>0.10878225133340812</v>
      </c>
      <c r="G53" s="7">
        <f t="shared" si="34"/>
        <v>7.1386016579822048E-2</v>
      </c>
      <c r="H53" s="7">
        <f t="shared" si="35"/>
        <v>7.6759105430058358E-2</v>
      </c>
      <c r="J53" s="20" t="s">
        <v>128</v>
      </c>
      <c r="K53" s="20">
        <v>9671781</v>
      </c>
      <c r="L53" s="20">
        <v>12227129</v>
      </c>
      <c r="M53" s="20">
        <v>22180096</v>
      </c>
      <c r="N53" s="7">
        <f>K53/$K$53</f>
        <v>1</v>
      </c>
      <c r="O53" s="7">
        <f t="shared" ref="O53:P53" si="37">L53/$K$53</f>
        <v>1.2642065613354976</v>
      </c>
      <c r="P53" s="7">
        <f t="shared" si="37"/>
        <v>2.2932793867024079</v>
      </c>
    </row>
    <row r="54" spans="2:16" ht="15.75" x14ac:dyDescent="0.25">
      <c r="B54" s="20" t="s">
        <v>129</v>
      </c>
      <c r="C54" s="20">
        <v>-4408844</v>
      </c>
      <c r="D54" s="20">
        <v>-3032096</v>
      </c>
      <c r="E54" s="20">
        <v>-3651933</v>
      </c>
      <c r="F54" s="7">
        <f t="shared" si="33"/>
        <v>-2.1623169534423493E-2</v>
      </c>
      <c r="G54" s="7">
        <f t="shared" si="34"/>
        <v>-2.2379461996462915E-2</v>
      </c>
      <c r="H54" s="7">
        <f t="shared" si="35"/>
        <v>-2.2925995969332567E-2</v>
      </c>
      <c r="J54" s="20" t="s">
        <v>129</v>
      </c>
      <c r="K54" s="20">
        <v>-3032096</v>
      </c>
      <c r="L54" s="20">
        <v>-3651933</v>
      </c>
      <c r="M54" s="20">
        <v>-4408844</v>
      </c>
      <c r="N54" s="7">
        <f>K54/$K$54</f>
        <v>1</v>
      </c>
      <c r="O54" s="7">
        <f t="shared" ref="O54:P54" si="38">L54/$K$54</f>
        <v>1.2044252556647284</v>
      </c>
      <c r="P54" s="7">
        <f t="shared" si="38"/>
        <v>1.4540581828543688</v>
      </c>
    </row>
    <row r="55" spans="2:16" ht="15.75" x14ac:dyDescent="0.25">
      <c r="B55" s="20" t="s">
        <v>130</v>
      </c>
      <c r="C55" s="20">
        <v>-1306075</v>
      </c>
      <c r="D55" s="20">
        <v>-860548</v>
      </c>
      <c r="E55" s="20">
        <v>-1073333</v>
      </c>
      <c r="F55" s="7">
        <f t="shared" si="33"/>
        <v>-6.4056431004753545E-3</v>
      </c>
      <c r="G55" s="7">
        <f t="shared" si="34"/>
        <v>-6.3515803134637462E-3</v>
      </c>
      <c r="H55" s="7">
        <f t="shared" si="35"/>
        <v>-6.7381378660976614E-3</v>
      </c>
      <c r="J55" s="20" t="s">
        <v>130</v>
      </c>
      <c r="K55" s="20">
        <v>-860548</v>
      </c>
      <c r="L55" s="20">
        <v>-1073333</v>
      </c>
      <c r="M55" s="20">
        <v>-1306075</v>
      </c>
      <c r="N55" s="7">
        <f>K55/$K$55</f>
        <v>1</v>
      </c>
      <c r="O55" s="7">
        <f t="shared" ref="O55:P55" si="39">L55/$K$55</f>
        <v>1.2472668578626642</v>
      </c>
      <c r="P55" s="7">
        <f t="shared" si="39"/>
        <v>1.5177247521346862</v>
      </c>
    </row>
    <row r="56" spans="2:16" ht="15.75" x14ac:dyDescent="0.25">
      <c r="B56" s="20" t="s">
        <v>131</v>
      </c>
      <c r="C56" s="20">
        <v>9192365</v>
      </c>
      <c r="D56" s="20">
        <v>4555670</v>
      </c>
      <c r="E56" s="20">
        <v>9061152</v>
      </c>
      <c r="F56" s="7">
        <f t="shared" si="33"/>
        <v>4.5083941917042389E-2</v>
      </c>
      <c r="G56" s="7">
        <f t="shared" si="34"/>
        <v>3.3624741312091116E-2</v>
      </c>
      <c r="H56" s="7">
        <f t="shared" si="35"/>
        <v>5.6883829530692299E-2</v>
      </c>
      <c r="J56" s="20" t="s">
        <v>131</v>
      </c>
      <c r="K56" s="20">
        <v>4555670</v>
      </c>
      <c r="L56" s="20">
        <v>9061152</v>
      </c>
      <c r="M56" s="20">
        <v>9192365</v>
      </c>
      <c r="N56" s="7">
        <f>K56/$K$56</f>
        <v>1</v>
      </c>
      <c r="O56" s="7">
        <f t="shared" ref="O56:P56" si="40">L56/$K$56</f>
        <v>1.9889833987097398</v>
      </c>
      <c r="P56" s="7">
        <f t="shared" si="40"/>
        <v>2.0177855288025692</v>
      </c>
    </row>
    <row r="57" spans="2:16" ht="15.75" x14ac:dyDescent="0.25">
      <c r="B57" s="20" t="s">
        <v>132</v>
      </c>
      <c r="C57" s="20">
        <v>-1245028</v>
      </c>
      <c r="D57" s="20">
        <v>-2156059</v>
      </c>
      <c r="E57" s="20">
        <v>-735293</v>
      </c>
      <c r="F57" s="7">
        <f t="shared" si="33"/>
        <v>-6.1062381701652889E-3</v>
      </c>
      <c r="G57" s="7">
        <f t="shared" si="34"/>
        <v>-1.5913559614415849E-2</v>
      </c>
      <c r="H57" s="7">
        <f>E57/$E$51</f>
        <v>-4.6160004453199028E-3</v>
      </c>
      <c r="J57" s="20" t="s">
        <v>132</v>
      </c>
      <c r="K57" s="20">
        <v>-2156059</v>
      </c>
      <c r="L57" s="20">
        <v>-735293</v>
      </c>
      <c r="M57" s="20">
        <v>-1245028</v>
      </c>
      <c r="N57" s="7">
        <f>K57/$K$57</f>
        <v>1</v>
      </c>
      <c r="O57" s="7">
        <f t="shared" ref="O57:P57" si="41">L57/$K$57</f>
        <v>0.34103565811510722</v>
      </c>
      <c r="P57" s="7">
        <f t="shared" si="41"/>
        <v>0.57745544069063048</v>
      </c>
    </row>
    <row r="58" spans="2:16" ht="15.75" x14ac:dyDescent="0.25">
      <c r="B58" s="20" t="s">
        <v>133</v>
      </c>
      <c r="C58" s="20">
        <v>54638</v>
      </c>
      <c r="D58" s="20">
        <v>322</v>
      </c>
      <c r="E58" s="20">
        <v>12475</v>
      </c>
      <c r="F58" s="7">
        <f t="shared" si="33"/>
        <v>2.6797199833376525E-4</v>
      </c>
      <c r="G58" s="7">
        <f t="shared" si="34"/>
        <v>2.3766354240964203E-6</v>
      </c>
      <c r="H58" s="7">
        <f t="shared" si="35"/>
        <v>7.8315182594375016E-5</v>
      </c>
      <c r="J58" s="20" t="s">
        <v>133</v>
      </c>
      <c r="K58" s="20">
        <v>322</v>
      </c>
      <c r="L58" s="20">
        <v>12475</v>
      </c>
      <c r="M58" s="20">
        <v>54638</v>
      </c>
      <c r="N58" s="7">
        <f>K58/$K$58</f>
        <v>1</v>
      </c>
      <c r="O58" s="7">
        <f t="shared" ref="O58:P58" si="42">L58/$K$58</f>
        <v>38.742236024844722</v>
      </c>
      <c r="P58" s="7">
        <f t="shared" si="42"/>
        <v>169.68322981366461</v>
      </c>
    </row>
    <row r="59" spans="2:16" ht="15.75" x14ac:dyDescent="0.25">
      <c r="B59" s="20" t="s">
        <v>134</v>
      </c>
      <c r="C59" s="20">
        <v>24467152</v>
      </c>
      <c r="D59" s="20">
        <v>8179070</v>
      </c>
      <c r="E59" s="20">
        <v>15840197</v>
      </c>
      <c r="F59" s="7">
        <f t="shared" si="33"/>
        <v>0.11999911444372013</v>
      </c>
      <c r="G59" s="7">
        <f t="shared" si="34"/>
        <v>6.0368532602994747E-2</v>
      </c>
      <c r="H59" s="7">
        <f t="shared" si="35"/>
        <v>9.9441115862594909E-2</v>
      </c>
      <c r="J59" s="20" t="s">
        <v>134</v>
      </c>
      <c r="K59" s="20">
        <v>8179070</v>
      </c>
      <c r="L59" s="20">
        <v>15840197</v>
      </c>
      <c r="M59" s="20">
        <v>24467152</v>
      </c>
      <c r="N59" s="7">
        <f>K59/$K$59</f>
        <v>1</v>
      </c>
      <c r="O59" s="7">
        <f t="shared" ref="O59:P59" si="43">L59/$K$59</f>
        <v>1.9366745852523575</v>
      </c>
      <c r="P59" s="7">
        <f t="shared" si="43"/>
        <v>2.9914344784920535</v>
      </c>
    </row>
    <row r="60" spans="2:16" ht="15.75" x14ac:dyDescent="0.25">
      <c r="B60" s="20" t="s">
        <v>135</v>
      </c>
      <c r="C60" s="20">
        <v>-125485</v>
      </c>
      <c r="D60" s="20">
        <v>-76027</v>
      </c>
      <c r="E60" s="20">
        <v>-102099</v>
      </c>
      <c r="F60" s="7">
        <f t="shared" si="33"/>
        <v>-6.1544101561024432E-4</v>
      </c>
      <c r="G60" s="7">
        <f t="shared" si="34"/>
        <v>-5.61144290024157E-4</v>
      </c>
      <c r="H60" s="7">
        <f t="shared" si="35"/>
        <v>-6.4095405432489745E-4</v>
      </c>
      <c r="J60" s="20" t="s">
        <v>135</v>
      </c>
      <c r="K60" s="20">
        <v>-76027</v>
      </c>
      <c r="L60" s="20">
        <v>-102099</v>
      </c>
      <c r="M60" s="20">
        <v>-125485</v>
      </c>
      <c r="N60" s="7">
        <f>K60/$K$60</f>
        <v>1</v>
      </c>
      <c r="O60" s="7">
        <f t="shared" ref="O60:P60" si="44">L60/$K$60</f>
        <v>1.3429308008996803</v>
      </c>
      <c r="P60" s="7">
        <f t="shared" si="44"/>
        <v>1.6505320478251149</v>
      </c>
    </row>
    <row r="61" spans="2:16" ht="15.75" x14ac:dyDescent="0.25">
      <c r="B61" s="20" t="s">
        <v>136</v>
      </c>
      <c r="C61" s="20">
        <v>24341667</v>
      </c>
      <c r="D61" s="20">
        <v>8103043</v>
      </c>
      <c r="E61" s="20">
        <v>15738098</v>
      </c>
      <c r="F61" s="7">
        <f t="shared" si="33"/>
        <v>0.11938367342810989</v>
      </c>
      <c r="G61" s="7">
        <f t="shared" si="34"/>
        <v>5.980738831297059E-2</v>
      </c>
      <c r="H61" s="7">
        <f t="shared" si="35"/>
        <v>9.8800161808270004E-2</v>
      </c>
      <c r="J61" s="20" t="s">
        <v>136</v>
      </c>
      <c r="K61" s="20">
        <v>8103043</v>
      </c>
      <c r="L61" s="20">
        <v>15738098</v>
      </c>
      <c r="M61" s="20">
        <v>24341667</v>
      </c>
      <c r="N61" s="7">
        <f>K61/$K$61</f>
        <v>1</v>
      </c>
      <c r="O61" s="7">
        <f t="shared" ref="O61:P61" si="45">L61/$K$61</f>
        <v>1.9422454008944541</v>
      </c>
      <c r="P61" s="7">
        <f t="shared" si="45"/>
        <v>3.0040155284872609</v>
      </c>
    </row>
    <row r="62" spans="2:16" ht="15.75" x14ac:dyDescent="0.25">
      <c r="B62" s="20" t="s">
        <v>137</v>
      </c>
      <c r="C62" s="20">
        <v>-9090052</v>
      </c>
      <c r="D62" s="20">
        <v>-3098888</v>
      </c>
      <c r="E62" s="20">
        <v>-6030053</v>
      </c>
      <c r="F62" s="7">
        <f t="shared" si="33"/>
        <v>-4.4582147944614361E-2</v>
      </c>
      <c r="G62" s="7">
        <f t="shared" si="34"/>
        <v>-2.2872444087289775E-2</v>
      </c>
      <c r="H62" s="7">
        <f t="shared" si="35"/>
        <v>-3.7855286713327364E-2</v>
      </c>
      <c r="J62" s="20" t="s">
        <v>137</v>
      </c>
      <c r="K62" s="20">
        <v>-3098888</v>
      </c>
      <c r="L62" s="20">
        <v>-6030053</v>
      </c>
      <c r="M62" s="20">
        <v>-9090052</v>
      </c>
      <c r="N62" s="7">
        <f>K62/$K$62</f>
        <v>1</v>
      </c>
      <c r="O62" s="7">
        <f t="shared" ref="O62:P62" si="46">L62/$K$62</f>
        <v>1.9458763917895709</v>
      </c>
      <c r="P62" s="7">
        <f t="shared" si="46"/>
        <v>2.9333270515100902</v>
      </c>
    </row>
    <row r="63" spans="2:16" ht="15.75" x14ac:dyDescent="0.25">
      <c r="B63" s="20" t="s">
        <v>138</v>
      </c>
      <c r="C63" s="20">
        <v>15251615</v>
      </c>
      <c r="D63" s="20">
        <v>5004155</v>
      </c>
      <c r="E63" s="20">
        <v>9708045</v>
      </c>
      <c r="F63" s="7">
        <f t="shared" si="33"/>
        <v>7.4801525483495529E-2</v>
      </c>
      <c r="G63" s="7">
        <f t="shared" si="34"/>
        <v>3.6934944225680812E-2</v>
      </c>
      <c r="H63" s="7">
        <f t="shared" si="35"/>
        <v>6.094487509494264E-2</v>
      </c>
      <c r="J63" s="20" t="s">
        <v>138</v>
      </c>
      <c r="K63" s="20">
        <v>5004155</v>
      </c>
      <c r="L63" s="20">
        <v>9708045</v>
      </c>
      <c r="M63" s="20">
        <v>15251615</v>
      </c>
      <c r="N63" s="7">
        <f>K63/$K$63</f>
        <v>1</v>
      </c>
      <c r="O63" s="7">
        <f t="shared" ref="O63:P63" si="47">L63/$K$63</f>
        <v>1.9399968626071735</v>
      </c>
      <c r="P63" s="7">
        <f t="shared" si="47"/>
        <v>3.0477902862721078</v>
      </c>
    </row>
    <row r="92" ht="15.75" x14ac:dyDescent="0.25"/>
  </sheetData>
  <mergeCells count="16">
    <mergeCell ref="J47:P47"/>
    <mergeCell ref="J48:P48"/>
    <mergeCell ref="K49:M49"/>
    <mergeCell ref="N49:P49"/>
    <mergeCell ref="K4:M4"/>
    <mergeCell ref="N4:P4"/>
    <mergeCell ref="J2:P2"/>
    <mergeCell ref="J3:P3"/>
    <mergeCell ref="B48:H48"/>
    <mergeCell ref="C49:E49"/>
    <mergeCell ref="F49:H49"/>
    <mergeCell ref="B2:H2"/>
    <mergeCell ref="B3:H3"/>
    <mergeCell ref="C4:E4"/>
    <mergeCell ref="F4:H4"/>
    <mergeCell ref="B47:H4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34C4-5C19-40FD-96CF-734FE093780B}">
  <dimension ref="A1:O53"/>
  <sheetViews>
    <sheetView zoomScale="58" zoomScaleNormal="40" workbookViewId="0">
      <selection activeCell="J57" sqref="J57"/>
    </sheetView>
  </sheetViews>
  <sheetFormatPr defaultRowHeight="29.25" customHeight="1" x14ac:dyDescent="0.25"/>
  <cols>
    <col min="1" max="1" width="26.85546875" style="30" bestFit="1" customWidth="1"/>
    <col min="2" max="2" width="29.7109375" style="30" bestFit="1" customWidth="1"/>
    <col min="3" max="4" width="21.28515625" style="30" customWidth="1"/>
    <col min="5" max="5" width="13" style="30" bestFit="1" customWidth="1"/>
    <col min="6" max="6" width="9.140625" style="30"/>
    <col min="7" max="7" width="17.5703125" style="30" customWidth="1"/>
    <col min="8" max="8" width="29.7109375" style="30" bestFit="1" customWidth="1"/>
    <col min="9" max="10" width="22.42578125" style="30" customWidth="1"/>
    <col min="11" max="11" width="21" style="30" customWidth="1"/>
    <col min="12" max="12" width="14.42578125" style="30" bestFit="1" customWidth="1"/>
    <col min="13" max="16" width="10.28515625" style="30" bestFit="1" customWidth="1"/>
    <col min="17" max="17" width="8.5703125" style="30" bestFit="1" customWidth="1"/>
    <col min="18" max="18" width="8.42578125" style="30" bestFit="1" customWidth="1"/>
    <col min="19" max="19" width="9" style="30" bestFit="1" customWidth="1"/>
    <col min="20" max="16384" width="9.140625" style="30"/>
  </cols>
  <sheetData>
    <row r="1" spans="1:11" ht="29.25" customHeight="1" x14ac:dyDescent="0.25">
      <c r="A1" s="84" t="s">
        <v>160</v>
      </c>
      <c r="B1" s="84"/>
      <c r="C1" s="84"/>
      <c r="D1" s="84"/>
      <c r="E1" s="84"/>
      <c r="G1" s="85" t="s">
        <v>175</v>
      </c>
      <c r="H1" s="85"/>
      <c r="I1" s="85"/>
      <c r="J1" s="85"/>
      <c r="K1" s="85"/>
    </row>
    <row r="2" spans="1:11" ht="29.25" customHeight="1" x14ac:dyDescent="0.25">
      <c r="A2" s="31" t="s">
        <v>41</v>
      </c>
      <c r="B2" s="31" t="s">
        <v>42</v>
      </c>
      <c r="C2" s="31" t="s">
        <v>84</v>
      </c>
      <c r="D2" s="31" t="s">
        <v>87</v>
      </c>
      <c r="E2" s="31" t="s">
        <v>86</v>
      </c>
      <c r="G2" s="31" t="s">
        <v>41</v>
      </c>
      <c r="H2" s="31" t="s">
        <v>42</v>
      </c>
      <c r="I2" s="31" t="s">
        <v>84</v>
      </c>
      <c r="J2" s="31" t="s">
        <v>87</v>
      </c>
      <c r="K2" s="31" t="s">
        <v>86</v>
      </c>
    </row>
    <row r="3" spans="1:11" ht="29.25" customHeight="1" x14ac:dyDescent="0.25">
      <c r="A3" s="29" t="s">
        <v>85</v>
      </c>
      <c r="B3" s="28">
        <v>1424.51</v>
      </c>
      <c r="C3" s="32">
        <f>B3-B4/B4</f>
        <v>1423.51</v>
      </c>
      <c r="D3" s="32">
        <f>B3-$C48</f>
        <v>-11.795476190476165</v>
      </c>
      <c r="E3" s="32">
        <f>D3^2</f>
        <v>139.1332585600901</v>
      </c>
      <c r="G3" s="27" t="s">
        <v>164</v>
      </c>
      <c r="H3" s="28">
        <v>2018.61</v>
      </c>
      <c r="I3" s="32">
        <f>H3-H4/H4</f>
        <v>2017.61</v>
      </c>
      <c r="J3" s="32">
        <f>H3-$I$48</f>
        <v>-57.605384615384764</v>
      </c>
      <c r="K3" s="32">
        <f>J3^2</f>
        <v>3318.3803366864076</v>
      </c>
    </row>
    <row r="4" spans="1:11" ht="29.25" customHeight="1" x14ac:dyDescent="0.25">
      <c r="A4" s="29" t="s">
        <v>66</v>
      </c>
      <c r="B4" s="28">
        <v>1425.89</v>
      </c>
      <c r="C4" s="32">
        <f t="shared" ref="C4:C43" si="0">B4-B5/B5</f>
        <v>1424.89</v>
      </c>
      <c r="D4" s="32">
        <f>B4-$C48</f>
        <v>-10.415476190476056</v>
      </c>
      <c r="E4" s="32">
        <f t="shared" ref="E4:E44" si="1">D4^2</f>
        <v>108.48214427437362</v>
      </c>
      <c r="G4" s="27" t="s">
        <v>165</v>
      </c>
      <c r="H4" s="28">
        <v>2013.23</v>
      </c>
      <c r="I4" s="32">
        <f t="shared" ref="I4:I40" si="2">H4-H5/H5</f>
        <v>2012.23</v>
      </c>
      <c r="J4" s="32">
        <f t="shared" ref="J4:J41" si="3">H4-$I$48</f>
        <v>-62.985384615384646</v>
      </c>
      <c r="K4" s="32">
        <f t="shared" ref="K4:K41" si="4">J4^2</f>
        <v>3967.1586751479331</v>
      </c>
    </row>
    <row r="5" spans="1:11" ht="29.25" customHeight="1" x14ac:dyDescent="0.25">
      <c r="A5" s="29" t="s">
        <v>67</v>
      </c>
      <c r="B5" s="28">
        <v>1459.76</v>
      </c>
      <c r="C5" s="32">
        <f t="shared" si="0"/>
        <v>1458.76</v>
      </c>
      <c r="D5" s="32">
        <f>B5-$C48</f>
        <v>23.454523809523835</v>
      </c>
      <c r="E5" s="32">
        <f t="shared" si="1"/>
        <v>550.11468713152044</v>
      </c>
      <c r="G5" s="27" t="s">
        <v>166</v>
      </c>
      <c r="H5" s="28">
        <v>2019.98</v>
      </c>
      <c r="I5" s="32">
        <f t="shared" si="2"/>
        <v>2018.98</v>
      </c>
      <c r="J5" s="32">
        <f t="shared" si="3"/>
        <v>-56.235384615384646</v>
      </c>
      <c r="K5" s="32">
        <f t="shared" si="4"/>
        <v>3162.4184828402404</v>
      </c>
    </row>
    <row r="6" spans="1:11" ht="29.25" customHeight="1" x14ac:dyDescent="0.25">
      <c r="A6" s="29" t="s">
        <v>68</v>
      </c>
      <c r="B6" s="28">
        <v>1458.83</v>
      </c>
      <c r="C6" s="32">
        <f t="shared" si="0"/>
        <v>1457.83</v>
      </c>
      <c r="D6" s="32">
        <f>B6-$C48</f>
        <v>22.524523809523771</v>
      </c>
      <c r="E6" s="32">
        <f t="shared" si="1"/>
        <v>507.35417284580325</v>
      </c>
      <c r="G6" s="27" t="s">
        <v>167</v>
      </c>
      <c r="H6" s="28">
        <v>2023.31</v>
      </c>
      <c r="I6" s="32">
        <f t="shared" si="2"/>
        <v>2022.31</v>
      </c>
      <c r="J6" s="32">
        <f t="shared" si="3"/>
        <v>-52.905384615384719</v>
      </c>
      <c r="K6" s="32">
        <f t="shared" si="4"/>
        <v>2798.979721301786</v>
      </c>
    </row>
    <row r="7" spans="1:11" ht="29.25" customHeight="1" x14ac:dyDescent="0.25">
      <c r="A7" s="29" t="s">
        <v>69</v>
      </c>
      <c r="B7" s="28">
        <v>1471.19</v>
      </c>
      <c r="C7" s="32">
        <f t="shared" si="0"/>
        <v>1470.19</v>
      </c>
      <c r="D7" s="32">
        <f>B7-$C48</f>
        <v>34.884523809523898</v>
      </c>
      <c r="E7" s="32">
        <f t="shared" si="1"/>
        <v>1216.9300014172397</v>
      </c>
      <c r="G7" s="27" t="s">
        <v>168</v>
      </c>
      <c r="H7" s="28">
        <v>2022.3</v>
      </c>
      <c r="I7" s="32">
        <f t="shared" si="2"/>
        <v>2021.3</v>
      </c>
      <c r="J7" s="32">
        <f t="shared" si="3"/>
        <v>-53.91538461538471</v>
      </c>
      <c r="K7" s="32">
        <f t="shared" si="4"/>
        <v>2906.8686982248623</v>
      </c>
    </row>
    <row r="8" spans="1:11" ht="29.25" customHeight="1" x14ac:dyDescent="0.25">
      <c r="A8" s="29" t="s">
        <v>70</v>
      </c>
      <c r="B8" s="28">
        <v>1487.23</v>
      </c>
      <c r="C8" s="32">
        <f t="shared" si="0"/>
        <v>1486.23</v>
      </c>
      <c r="D8" s="32">
        <f>B8-C48</f>
        <v>50.924523809523862</v>
      </c>
      <c r="E8" s="32">
        <f t="shared" si="1"/>
        <v>2593.3071252267628</v>
      </c>
      <c r="G8" s="27" t="s">
        <v>169</v>
      </c>
      <c r="H8" s="28">
        <v>2028.91</v>
      </c>
      <c r="I8" s="32">
        <f t="shared" si="2"/>
        <v>2027.91</v>
      </c>
      <c r="J8" s="32">
        <f t="shared" si="3"/>
        <v>-47.305384615384583</v>
      </c>
      <c r="K8" s="32">
        <f t="shared" si="4"/>
        <v>2237.7994136094644</v>
      </c>
    </row>
    <row r="9" spans="1:11" ht="29.25" customHeight="1" x14ac:dyDescent="0.25">
      <c r="A9" s="29" t="s">
        <v>71</v>
      </c>
      <c r="B9" s="28">
        <v>1489.23</v>
      </c>
      <c r="C9" s="32">
        <f t="shared" si="0"/>
        <v>1488.23</v>
      </c>
      <c r="D9" s="32">
        <f>B9-C48</f>
        <v>52.924523809523862</v>
      </c>
      <c r="E9" s="32">
        <f t="shared" si="1"/>
        <v>2801.0052204648582</v>
      </c>
      <c r="G9" s="27" t="s">
        <v>170</v>
      </c>
      <c r="H9" s="28">
        <v>2014.06</v>
      </c>
      <c r="I9" s="32">
        <f t="shared" si="2"/>
        <v>2013.06</v>
      </c>
      <c r="J9" s="32">
        <f t="shared" si="3"/>
        <v>-62.155384615384719</v>
      </c>
      <c r="K9" s="32">
        <f t="shared" si="4"/>
        <v>3863.2918366864033</v>
      </c>
    </row>
    <row r="10" spans="1:11" ht="29.25" customHeight="1" x14ac:dyDescent="0.25">
      <c r="A10" s="29" t="s">
        <v>72</v>
      </c>
      <c r="B10" s="28">
        <v>1486.16</v>
      </c>
      <c r="C10" s="32">
        <f t="shared" si="0"/>
        <v>1485.16</v>
      </c>
      <c r="D10" s="32">
        <f>B10-C48</f>
        <v>49.854523809523926</v>
      </c>
      <c r="E10" s="32">
        <f t="shared" si="1"/>
        <v>2485.4735442743881</v>
      </c>
      <c r="G10" s="27" t="s">
        <v>171</v>
      </c>
      <c r="H10" s="28">
        <v>2002.15</v>
      </c>
      <c r="I10" s="32">
        <f t="shared" si="2"/>
        <v>2001.15</v>
      </c>
      <c r="J10" s="32">
        <f t="shared" si="3"/>
        <v>-74.065384615384573</v>
      </c>
      <c r="K10" s="32">
        <f t="shared" si="4"/>
        <v>5485.6811982248455</v>
      </c>
    </row>
    <row r="11" spans="1:11" ht="29.25" customHeight="1" x14ac:dyDescent="0.25">
      <c r="A11" s="29" t="s">
        <v>73</v>
      </c>
      <c r="B11" s="28">
        <v>1488.42</v>
      </c>
      <c r="C11" s="32">
        <f t="shared" si="0"/>
        <v>1487.42</v>
      </c>
      <c r="D11" s="32">
        <f>B11-C48</f>
        <v>52.114523809523916</v>
      </c>
      <c r="E11" s="32">
        <f t="shared" si="1"/>
        <v>2715.9235918934351</v>
      </c>
      <c r="G11" s="27" t="s">
        <v>172</v>
      </c>
      <c r="H11" s="28">
        <v>1998.25</v>
      </c>
      <c r="I11" s="32">
        <f t="shared" si="2"/>
        <v>1997.25</v>
      </c>
      <c r="J11" s="32">
        <f t="shared" si="3"/>
        <v>-77.965384615384664</v>
      </c>
      <c r="K11" s="32">
        <f t="shared" si="4"/>
        <v>6078.6011982248601</v>
      </c>
    </row>
    <row r="12" spans="1:11" ht="29.25" customHeight="1" x14ac:dyDescent="0.25">
      <c r="A12" s="29" t="s">
        <v>74</v>
      </c>
      <c r="B12" s="28">
        <v>1487.95</v>
      </c>
      <c r="C12" s="32">
        <f t="shared" si="0"/>
        <v>1486.95</v>
      </c>
      <c r="D12" s="32">
        <f>B12-C48</f>
        <v>51.644523809523889</v>
      </c>
      <c r="E12" s="32">
        <f t="shared" si="1"/>
        <v>2667.15683951248</v>
      </c>
      <c r="G12" s="27" t="s">
        <v>173</v>
      </c>
      <c r="H12" s="28">
        <v>1992.84</v>
      </c>
      <c r="I12" s="32">
        <f t="shared" si="2"/>
        <v>1991.84</v>
      </c>
      <c r="J12" s="32">
        <f t="shared" si="3"/>
        <v>-83.375384615384746</v>
      </c>
      <c r="K12" s="32">
        <f t="shared" si="4"/>
        <v>6951.4547597633355</v>
      </c>
    </row>
    <row r="13" spans="1:11" ht="29.25" customHeight="1" x14ac:dyDescent="0.25">
      <c r="A13" s="29" t="s">
        <v>75</v>
      </c>
      <c r="B13" s="28">
        <v>1478.3</v>
      </c>
      <c r="C13" s="32">
        <f t="shared" si="0"/>
        <v>1477.3</v>
      </c>
      <c r="D13" s="32">
        <f>B13-C48</f>
        <v>41.994523809523798</v>
      </c>
      <c r="E13" s="32">
        <f t="shared" si="1"/>
        <v>1763.5400299886612</v>
      </c>
      <c r="G13" s="27" t="s">
        <v>174</v>
      </c>
      <c r="H13" s="28">
        <v>2002.03</v>
      </c>
      <c r="I13" s="32">
        <f t="shared" si="2"/>
        <v>2001.03</v>
      </c>
      <c r="J13" s="32">
        <f t="shared" si="3"/>
        <v>-74.185384615384692</v>
      </c>
      <c r="K13" s="32">
        <f t="shared" si="4"/>
        <v>5503.4712905325559</v>
      </c>
    </row>
    <row r="14" spans="1:11" ht="29.25" customHeight="1" x14ac:dyDescent="0.25">
      <c r="A14" s="29" t="s">
        <v>76</v>
      </c>
      <c r="B14" s="28">
        <v>1479.52</v>
      </c>
      <c r="C14" s="32">
        <f t="shared" si="0"/>
        <v>1478.52</v>
      </c>
      <c r="D14" s="32">
        <f>B14-C48</f>
        <v>43.214523809523826</v>
      </c>
      <c r="E14" s="32">
        <f t="shared" si="1"/>
        <v>1867.4950680839015</v>
      </c>
      <c r="G14" s="29" t="s">
        <v>79</v>
      </c>
      <c r="H14" s="28">
        <v>1998.99</v>
      </c>
      <c r="I14" s="32">
        <f t="shared" si="2"/>
        <v>1997.99</v>
      </c>
      <c r="J14" s="32">
        <f t="shared" si="3"/>
        <v>-77.225384615384655</v>
      </c>
      <c r="K14" s="32">
        <f t="shared" si="4"/>
        <v>5963.7600289940892</v>
      </c>
    </row>
    <row r="15" spans="1:11" ht="29.25" customHeight="1" x14ac:dyDescent="0.25">
      <c r="A15" s="29" t="s">
        <v>77</v>
      </c>
      <c r="B15" s="28">
        <v>1468.34</v>
      </c>
      <c r="C15" s="32">
        <f t="shared" si="0"/>
        <v>1467.34</v>
      </c>
      <c r="D15" s="32">
        <f>B15-C48</f>
        <v>32.034523809523762</v>
      </c>
      <c r="E15" s="32">
        <f t="shared" si="1"/>
        <v>1026.2107157029448</v>
      </c>
      <c r="G15" s="29" t="s">
        <v>80</v>
      </c>
      <c r="H15" s="28">
        <v>1998.3</v>
      </c>
      <c r="I15" s="32">
        <f t="shared" si="2"/>
        <v>1997.3</v>
      </c>
      <c r="J15" s="32">
        <f t="shared" si="3"/>
        <v>-77.91538461538471</v>
      </c>
      <c r="K15" s="32">
        <f t="shared" si="4"/>
        <v>6070.8071597633279</v>
      </c>
    </row>
    <row r="16" spans="1:11" ht="29.25" customHeight="1" x14ac:dyDescent="0.25">
      <c r="A16" s="29" t="s">
        <v>78</v>
      </c>
      <c r="B16" s="28">
        <v>1538.22</v>
      </c>
      <c r="C16" s="32">
        <f t="shared" si="0"/>
        <v>1537.22</v>
      </c>
      <c r="D16" s="32">
        <f>B16-C48</f>
        <v>101.91452380952387</v>
      </c>
      <c r="E16" s="32">
        <f t="shared" si="1"/>
        <v>10386.570163322009</v>
      </c>
      <c r="G16" s="29" t="s">
        <v>81</v>
      </c>
      <c r="H16" s="28">
        <v>2002.05</v>
      </c>
      <c r="I16" s="32">
        <f t="shared" si="2"/>
        <v>2001.05</v>
      </c>
      <c r="J16" s="32">
        <f t="shared" si="3"/>
        <v>-74.16538461538471</v>
      </c>
      <c r="K16" s="32">
        <f t="shared" si="4"/>
        <v>5500.5042751479432</v>
      </c>
    </row>
    <row r="17" spans="1:11" ht="29.25" customHeight="1" x14ac:dyDescent="0.25">
      <c r="A17" s="29" t="s">
        <v>79</v>
      </c>
      <c r="B17" s="28">
        <v>1527.01</v>
      </c>
      <c r="C17" s="32">
        <f t="shared" si="0"/>
        <v>1526.01</v>
      </c>
      <c r="D17" s="32">
        <f>B17-C48</f>
        <v>90.704523809523835</v>
      </c>
      <c r="E17" s="32">
        <f t="shared" si="1"/>
        <v>8227.310639512476</v>
      </c>
      <c r="G17" s="29" t="s">
        <v>82</v>
      </c>
      <c r="H17" s="28">
        <v>2065.15</v>
      </c>
      <c r="I17" s="32">
        <f t="shared" si="2"/>
        <v>2064.15</v>
      </c>
      <c r="J17" s="32">
        <f t="shared" si="3"/>
        <v>-11.065384615384573</v>
      </c>
      <c r="K17" s="32">
        <f t="shared" si="4"/>
        <v>122.44273668638961</v>
      </c>
    </row>
    <row r="18" spans="1:11" ht="29.25" customHeight="1" x14ac:dyDescent="0.25">
      <c r="A18" s="29" t="s">
        <v>80</v>
      </c>
      <c r="B18" s="28">
        <v>1515.53</v>
      </c>
      <c r="C18" s="32">
        <f t="shared" si="0"/>
        <v>1514.53</v>
      </c>
      <c r="D18" s="32">
        <f>B18-C48</f>
        <v>79.224523809523816</v>
      </c>
      <c r="E18" s="32">
        <f t="shared" si="1"/>
        <v>6276.5251728458061</v>
      </c>
      <c r="G18" s="29" t="s">
        <v>83</v>
      </c>
      <c r="H18" s="28">
        <v>2076.73</v>
      </c>
      <c r="I18" s="32">
        <f t="shared" si="2"/>
        <v>2075.73</v>
      </c>
      <c r="J18" s="32">
        <f t="shared" si="3"/>
        <v>0.51461538461535383</v>
      </c>
      <c r="K18" s="32">
        <f t="shared" si="4"/>
        <v>0.26482899408280858</v>
      </c>
    </row>
    <row r="19" spans="1:11" ht="29.25" customHeight="1" x14ac:dyDescent="0.25">
      <c r="A19" s="29" t="s">
        <v>81</v>
      </c>
      <c r="B19" s="28">
        <v>1515.08</v>
      </c>
      <c r="C19" s="32">
        <f t="shared" si="0"/>
        <v>1514.08</v>
      </c>
      <c r="D19" s="32">
        <f>B19-C48</f>
        <v>78.774523809523771</v>
      </c>
      <c r="E19" s="32">
        <f t="shared" si="1"/>
        <v>6205.4256014172279</v>
      </c>
      <c r="G19" s="29" t="s">
        <v>43</v>
      </c>
      <c r="H19" s="28">
        <v>2079.1999999999998</v>
      </c>
      <c r="I19" s="32">
        <f t="shared" si="2"/>
        <v>2078.1999999999998</v>
      </c>
      <c r="J19" s="32">
        <f t="shared" si="3"/>
        <v>2.9846153846151537</v>
      </c>
      <c r="K19" s="32">
        <f t="shared" si="4"/>
        <v>8.9079289940814625</v>
      </c>
    </row>
    <row r="20" spans="1:11" ht="29.25" customHeight="1" x14ac:dyDescent="0.25">
      <c r="A20" s="29" t="s">
        <v>82</v>
      </c>
      <c r="B20" s="28">
        <v>1506.67</v>
      </c>
      <c r="C20" s="32">
        <f t="shared" si="0"/>
        <v>1505.67</v>
      </c>
      <c r="D20" s="32">
        <f>B20-C48</f>
        <v>70.364523809523916</v>
      </c>
      <c r="E20" s="32">
        <f t="shared" si="1"/>
        <v>4951.1662109410581</v>
      </c>
      <c r="G20" s="29" t="s">
        <v>44</v>
      </c>
      <c r="H20" s="28">
        <v>2079.7800000000002</v>
      </c>
      <c r="I20" s="32">
        <f t="shared" si="2"/>
        <v>2078.7800000000002</v>
      </c>
      <c r="J20" s="32">
        <f t="shared" si="3"/>
        <v>3.5646153846155357</v>
      </c>
      <c r="K20" s="32">
        <f t="shared" si="4"/>
        <v>12.706482840237763</v>
      </c>
    </row>
    <row r="21" spans="1:11" ht="29.25" customHeight="1" x14ac:dyDescent="0.25">
      <c r="A21" s="29" t="s">
        <v>83</v>
      </c>
      <c r="B21" s="28">
        <v>1526.51</v>
      </c>
      <c r="C21" s="32">
        <f t="shared" si="0"/>
        <v>1525.51</v>
      </c>
      <c r="D21" s="32">
        <f>B21-C48</f>
        <v>90.204523809523835</v>
      </c>
      <c r="E21" s="32">
        <f t="shared" si="1"/>
        <v>8136.8561157029526</v>
      </c>
      <c r="G21" s="29" t="s">
        <v>45</v>
      </c>
      <c r="H21" s="28">
        <v>2077.7399999999998</v>
      </c>
      <c r="I21" s="32">
        <f t="shared" si="2"/>
        <v>2076.7399999999998</v>
      </c>
      <c r="J21" s="32">
        <f t="shared" si="3"/>
        <v>1.5246153846151174</v>
      </c>
      <c r="K21" s="32">
        <f t="shared" si="4"/>
        <v>2.3244520710051022</v>
      </c>
    </row>
    <row r="22" spans="1:11" ht="29.25" customHeight="1" x14ac:dyDescent="0.25">
      <c r="A22" s="29" t="s">
        <v>43</v>
      </c>
      <c r="B22" s="28">
        <v>1454.71</v>
      </c>
      <c r="C22" s="32">
        <f t="shared" si="0"/>
        <v>1453.71</v>
      </c>
      <c r="D22" s="32">
        <f>B22-C48</f>
        <v>18.40452380952388</v>
      </c>
      <c r="E22" s="32">
        <f t="shared" si="1"/>
        <v>338.7264966553314</v>
      </c>
      <c r="G22" s="29" t="s">
        <v>46</v>
      </c>
      <c r="H22" s="28">
        <v>2089.5500000000002</v>
      </c>
      <c r="I22" s="32">
        <f t="shared" si="2"/>
        <v>2088.5500000000002</v>
      </c>
      <c r="J22" s="32">
        <f t="shared" si="3"/>
        <v>13.334615384615518</v>
      </c>
      <c r="K22" s="32">
        <f t="shared" si="4"/>
        <v>177.81196745562485</v>
      </c>
    </row>
    <row r="23" spans="1:11" ht="29.25" customHeight="1" x14ac:dyDescent="0.25">
      <c r="A23" s="29" t="s">
        <v>44</v>
      </c>
      <c r="B23" s="28">
        <v>1433.35</v>
      </c>
      <c r="C23" s="32">
        <f t="shared" si="0"/>
        <v>1432.35</v>
      </c>
      <c r="D23" s="32">
        <f>B23-C48</f>
        <v>-2.9554761904762472</v>
      </c>
      <c r="E23" s="32">
        <f t="shared" si="1"/>
        <v>8.7348395124719911</v>
      </c>
      <c r="G23" s="29" t="s">
        <v>47</v>
      </c>
      <c r="H23" s="28">
        <v>2070.4</v>
      </c>
      <c r="I23" s="32">
        <f t="shared" si="2"/>
        <v>2069.4</v>
      </c>
      <c r="J23" s="32">
        <f t="shared" si="3"/>
        <v>-5.8153846153845734</v>
      </c>
      <c r="K23" s="32">
        <f t="shared" si="4"/>
        <v>33.81869822485158</v>
      </c>
    </row>
    <row r="24" spans="1:11" ht="29.25" customHeight="1" x14ac:dyDescent="0.25">
      <c r="A24" s="29" t="s">
        <v>45</v>
      </c>
      <c r="B24" s="28">
        <v>1397.17</v>
      </c>
      <c r="C24" s="32">
        <f t="shared" si="0"/>
        <v>1396.17</v>
      </c>
      <c r="D24" s="32">
        <f>B24-C48</f>
        <v>-39.135476190476084</v>
      </c>
      <c r="E24" s="32">
        <f t="shared" si="1"/>
        <v>1531.5854966553204</v>
      </c>
      <c r="G24" s="29" t="s">
        <v>48</v>
      </c>
      <c r="H24" s="28">
        <v>2076.06</v>
      </c>
      <c r="I24" s="32">
        <f t="shared" si="2"/>
        <v>2075.06</v>
      </c>
      <c r="J24" s="32">
        <f t="shared" si="3"/>
        <v>-0.15538461538471893</v>
      </c>
      <c r="K24" s="32">
        <f t="shared" si="4"/>
        <v>2.414437869825703E-2</v>
      </c>
    </row>
    <row r="25" spans="1:11" ht="29.25" customHeight="1" x14ac:dyDescent="0.25">
      <c r="A25" s="29" t="s">
        <v>46</v>
      </c>
      <c r="B25" s="28">
        <v>1398.44</v>
      </c>
      <c r="C25" s="32">
        <f t="shared" si="0"/>
        <v>1397.44</v>
      </c>
      <c r="D25" s="32">
        <f>B25-C48</f>
        <v>-37.865476190476102</v>
      </c>
      <c r="E25" s="32">
        <f t="shared" si="1"/>
        <v>1433.7942871315126</v>
      </c>
      <c r="G25" s="29" t="s">
        <v>49</v>
      </c>
      <c r="H25" s="28">
        <v>2080.5500000000002</v>
      </c>
      <c r="I25" s="32">
        <f t="shared" si="2"/>
        <v>2079.5500000000002</v>
      </c>
      <c r="J25" s="32">
        <f t="shared" si="3"/>
        <v>4.3346153846155175</v>
      </c>
      <c r="K25" s="32">
        <f t="shared" si="4"/>
        <v>18.78889053254553</v>
      </c>
    </row>
    <row r="26" spans="1:11" ht="29.25" customHeight="1" x14ac:dyDescent="0.25">
      <c r="A26" s="29" t="s">
        <v>47</v>
      </c>
      <c r="B26" s="28">
        <v>1389.11</v>
      </c>
      <c r="C26" s="32">
        <f t="shared" si="0"/>
        <v>1388.11</v>
      </c>
      <c r="D26" s="32">
        <f>B26-C48</f>
        <v>-47.195476190476256</v>
      </c>
      <c r="E26" s="32">
        <f t="shared" si="1"/>
        <v>2227.4129728458111</v>
      </c>
      <c r="G26" s="29" t="s">
        <v>50</v>
      </c>
      <c r="H26" s="28">
        <v>2080.06</v>
      </c>
      <c r="I26" s="32">
        <f t="shared" si="2"/>
        <v>2079.06</v>
      </c>
      <c r="J26" s="32">
        <f t="shared" si="3"/>
        <v>3.8446153846152811</v>
      </c>
      <c r="K26" s="32">
        <f t="shared" si="4"/>
        <v>14.781067455620505</v>
      </c>
    </row>
    <row r="27" spans="1:11" ht="29.25" customHeight="1" x14ac:dyDescent="0.25">
      <c r="A27" s="29" t="s">
        <v>48</v>
      </c>
      <c r="B27" s="28">
        <v>1398.07</v>
      </c>
      <c r="C27" s="32">
        <f t="shared" si="0"/>
        <v>1397.07</v>
      </c>
      <c r="D27" s="32">
        <f>B27-C48</f>
        <v>-38.23547619047622</v>
      </c>
      <c r="E27" s="32">
        <f t="shared" si="1"/>
        <v>1461.951639512474</v>
      </c>
      <c r="G27" s="29" t="s">
        <v>51</v>
      </c>
      <c r="H27" s="28">
        <v>2117.27</v>
      </c>
      <c r="I27" s="32">
        <f t="shared" si="2"/>
        <v>2116.27</v>
      </c>
      <c r="J27" s="32">
        <f t="shared" si="3"/>
        <v>41.054615384615317</v>
      </c>
      <c r="K27" s="32">
        <f t="shared" si="4"/>
        <v>1685.4814443786927</v>
      </c>
    </row>
    <row r="28" spans="1:11" ht="29.25" customHeight="1" x14ac:dyDescent="0.25">
      <c r="A28" s="29" t="s">
        <v>49</v>
      </c>
      <c r="B28" s="28">
        <v>1394.47</v>
      </c>
      <c r="C28" s="32">
        <f t="shared" si="0"/>
        <v>1393.47</v>
      </c>
      <c r="D28" s="32">
        <f>B28-C48</f>
        <v>-41.835476190476129</v>
      </c>
      <c r="E28" s="32">
        <f t="shared" si="1"/>
        <v>1750.2070680838951</v>
      </c>
      <c r="G28" s="29" t="s">
        <v>52</v>
      </c>
      <c r="H28" s="28">
        <v>2106.7399999999998</v>
      </c>
      <c r="I28" s="32">
        <f t="shared" si="2"/>
        <v>2105.7399999999998</v>
      </c>
      <c r="J28" s="32">
        <f t="shared" si="3"/>
        <v>30.524615384615117</v>
      </c>
      <c r="K28" s="32">
        <f t="shared" si="4"/>
        <v>931.75214437868192</v>
      </c>
    </row>
    <row r="29" spans="1:11" ht="29.25" customHeight="1" x14ac:dyDescent="0.25">
      <c r="A29" s="29" t="s">
        <v>50</v>
      </c>
      <c r="B29" s="28">
        <v>1394.86</v>
      </c>
      <c r="C29" s="32">
        <f t="shared" si="0"/>
        <v>1393.86</v>
      </c>
      <c r="D29" s="32">
        <f>B29-C48</f>
        <v>-41.445476190476256</v>
      </c>
      <c r="E29" s="32">
        <f t="shared" si="1"/>
        <v>1717.7274966553343</v>
      </c>
      <c r="G29" s="29" t="s">
        <v>53</v>
      </c>
      <c r="H29" s="28">
        <v>2107.4699999999998</v>
      </c>
      <c r="I29" s="32">
        <f t="shared" si="2"/>
        <v>2106.4699999999998</v>
      </c>
      <c r="J29" s="32">
        <f t="shared" si="3"/>
        <v>31.254615384615136</v>
      </c>
      <c r="K29" s="32">
        <f t="shared" si="4"/>
        <v>976.85098284022115</v>
      </c>
    </row>
    <row r="30" spans="1:11" ht="29.25" customHeight="1" x14ac:dyDescent="0.25">
      <c r="A30" s="29" t="s">
        <v>51</v>
      </c>
      <c r="B30" s="28">
        <v>1385.83</v>
      </c>
      <c r="C30" s="32">
        <f t="shared" si="0"/>
        <v>1384.83</v>
      </c>
      <c r="D30" s="32">
        <f>B30-C48</f>
        <v>-50.475476190476229</v>
      </c>
      <c r="E30" s="32">
        <f t="shared" si="1"/>
        <v>2547.7736966553325</v>
      </c>
      <c r="G30" s="29" t="s">
        <v>54</v>
      </c>
      <c r="H30" s="28">
        <v>2101.31</v>
      </c>
      <c r="I30" s="32">
        <f t="shared" si="2"/>
        <v>2100.31</v>
      </c>
      <c r="J30" s="32">
        <f t="shared" si="3"/>
        <v>25.094615384615281</v>
      </c>
      <c r="K30" s="32">
        <f t="shared" si="4"/>
        <v>629.73972130176992</v>
      </c>
    </row>
    <row r="31" spans="1:11" ht="29.25" customHeight="1" x14ac:dyDescent="0.25">
      <c r="A31" s="29" t="s">
        <v>52</v>
      </c>
      <c r="B31" s="28">
        <v>1383.95</v>
      </c>
      <c r="C31" s="32">
        <f t="shared" si="0"/>
        <v>1382.95</v>
      </c>
      <c r="D31" s="32">
        <f>B31-C48</f>
        <v>-52.355476190476111</v>
      </c>
      <c r="E31" s="32">
        <f t="shared" si="1"/>
        <v>2741.0958871315111</v>
      </c>
      <c r="G31" s="29" t="s">
        <v>55</v>
      </c>
      <c r="H31" s="28">
        <v>2109.36</v>
      </c>
      <c r="I31" s="32">
        <f t="shared" si="2"/>
        <v>2108.36</v>
      </c>
      <c r="J31" s="32">
        <f t="shared" si="3"/>
        <v>33.144615384615463</v>
      </c>
      <c r="K31" s="32">
        <f t="shared" si="4"/>
        <v>1098.565528994088</v>
      </c>
    </row>
    <row r="32" spans="1:11" ht="29.25" customHeight="1" x14ac:dyDescent="0.25">
      <c r="A32" s="29" t="s">
        <v>53</v>
      </c>
      <c r="B32" s="28">
        <v>1387.71</v>
      </c>
      <c r="C32" s="32">
        <f t="shared" si="0"/>
        <v>1386.71</v>
      </c>
      <c r="D32" s="32">
        <f>B32-C48</f>
        <v>-48.59547619047612</v>
      </c>
      <c r="E32" s="32">
        <f t="shared" si="1"/>
        <v>2361.5203061791312</v>
      </c>
      <c r="G32" s="29" t="s">
        <v>56</v>
      </c>
      <c r="H32" s="28">
        <v>2104.7800000000002</v>
      </c>
      <c r="I32" s="32">
        <f t="shared" si="2"/>
        <v>2103.7800000000002</v>
      </c>
      <c r="J32" s="32">
        <f t="shared" si="3"/>
        <v>28.564615384615536</v>
      </c>
      <c r="K32" s="32">
        <f t="shared" si="4"/>
        <v>815.93725207101454</v>
      </c>
    </row>
    <row r="33" spans="1:15" ht="29.25" customHeight="1" x14ac:dyDescent="0.25">
      <c r="A33" s="29" t="s">
        <v>54</v>
      </c>
      <c r="B33" s="28">
        <v>1388.77</v>
      </c>
      <c r="C33" s="32">
        <f t="shared" si="0"/>
        <v>1387.77</v>
      </c>
      <c r="D33" s="32">
        <f>B33-C48</f>
        <v>-47.535476190476174</v>
      </c>
      <c r="E33" s="32">
        <f t="shared" si="1"/>
        <v>2259.6214966553271</v>
      </c>
      <c r="G33" s="29" t="s">
        <v>57</v>
      </c>
      <c r="H33" s="28">
        <v>2037.76</v>
      </c>
      <c r="I33" s="32">
        <f t="shared" si="2"/>
        <v>2036.76</v>
      </c>
      <c r="J33" s="32">
        <f t="shared" si="3"/>
        <v>-38.455384615384673</v>
      </c>
      <c r="K33" s="32">
        <f t="shared" si="4"/>
        <v>1478.8166059171642</v>
      </c>
    </row>
    <row r="34" spans="1:15" ht="29.25" customHeight="1" x14ac:dyDescent="0.25">
      <c r="A34" s="29" t="s">
        <v>55</v>
      </c>
      <c r="B34" s="28">
        <v>1380.64</v>
      </c>
      <c r="C34" s="32">
        <f t="shared" si="0"/>
        <v>1379.64</v>
      </c>
      <c r="D34" s="32">
        <f>B34-C48</f>
        <v>-55.665476190476056</v>
      </c>
      <c r="E34" s="32">
        <f t="shared" si="1"/>
        <v>3098.6452395124566</v>
      </c>
      <c r="G34" s="29" t="s">
        <v>58</v>
      </c>
      <c r="H34" s="28">
        <v>2107.42</v>
      </c>
      <c r="I34" s="32">
        <f t="shared" si="2"/>
        <v>2106.42</v>
      </c>
      <c r="J34" s="32">
        <f t="shared" si="3"/>
        <v>31.204615384615408</v>
      </c>
      <c r="K34" s="32">
        <f t="shared" si="4"/>
        <v>973.72802130177661</v>
      </c>
    </row>
    <row r="35" spans="1:15" ht="29.25" customHeight="1" x14ac:dyDescent="0.25">
      <c r="A35" s="29" t="s">
        <v>56</v>
      </c>
      <c r="B35" s="28">
        <v>1392.09</v>
      </c>
      <c r="C35" s="32">
        <f t="shared" si="0"/>
        <v>1391.09</v>
      </c>
      <c r="D35" s="32">
        <f>B35-C48</f>
        <v>-44.215476190476238</v>
      </c>
      <c r="E35" s="32">
        <f t="shared" si="1"/>
        <v>1955.0083347505711</v>
      </c>
      <c r="G35" s="29" t="s">
        <v>59</v>
      </c>
      <c r="H35" s="28">
        <v>2145.86</v>
      </c>
      <c r="I35" s="32">
        <f t="shared" si="2"/>
        <v>2144.86</v>
      </c>
      <c r="J35" s="32">
        <f t="shared" si="3"/>
        <v>69.644615384615463</v>
      </c>
      <c r="K35" s="32">
        <f t="shared" si="4"/>
        <v>4850.3724520710166</v>
      </c>
    </row>
    <row r="36" spans="1:15" ht="29.25" customHeight="1" x14ac:dyDescent="0.25">
      <c r="A36" s="29" t="s">
        <v>57</v>
      </c>
      <c r="B36" s="28">
        <v>1379.98</v>
      </c>
      <c r="C36" s="32">
        <f t="shared" si="0"/>
        <v>1378.98</v>
      </c>
      <c r="D36" s="32">
        <f>B36-C48</f>
        <v>-56.325476190476138</v>
      </c>
      <c r="E36" s="32">
        <f t="shared" si="1"/>
        <v>3172.5592680838945</v>
      </c>
      <c r="G36" s="29" t="s">
        <v>60</v>
      </c>
      <c r="H36" s="28">
        <v>2150.96</v>
      </c>
      <c r="I36" s="32">
        <f t="shared" si="2"/>
        <v>2149.96</v>
      </c>
      <c r="J36" s="32">
        <f t="shared" si="3"/>
        <v>74.744615384615372</v>
      </c>
      <c r="K36" s="32">
        <f t="shared" si="4"/>
        <v>5586.7575289940805</v>
      </c>
    </row>
    <row r="37" spans="1:15" ht="29.25" customHeight="1" x14ac:dyDescent="0.25">
      <c r="A37" s="29" t="s">
        <v>58</v>
      </c>
      <c r="B37" s="28">
        <v>1371.94</v>
      </c>
      <c r="C37" s="32">
        <f t="shared" si="0"/>
        <v>1370.94</v>
      </c>
      <c r="D37" s="32">
        <f>B37-C48</f>
        <v>-64.365476190476102</v>
      </c>
      <c r="E37" s="32">
        <f t="shared" si="1"/>
        <v>4142.9145252267463</v>
      </c>
      <c r="G37" s="29" t="s">
        <v>61</v>
      </c>
      <c r="H37" s="28">
        <v>2168.62</v>
      </c>
      <c r="I37" s="32">
        <f t="shared" si="2"/>
        <v>2167.62</v>
      </c>
      <c r="J37" s="32">
        <f t="shared" si="3"/>
        <v>92.404615384615227</v>
      </c>
      <c r="K37" s="32">
        <f t="shared" si="4"/>
        <v>8538.6129443786685</v>
      </c>
    </row>
    <row r="38" spans="1:15" ht="29.25" customHeight="1" x14ac:dyDescent="0.25">
      <c r="A38" s="29" t="s">
        <v>59</v>
      </c>
      <c r="B38" s="28">
        <v>1393.7</v>
      </c>
      <c r="C38" s="32">
        <f t="shared" si="0"/>
        <v>1392.7</v>
      </c>
      <c r="D38" s="32">
        <f>B38-C48</f>
        <v>-42.605476190476111</v>
      </c>
      <c r="E38" s="32">
        <f t="shared" si="1"/>
        <v>1815.2266014172267</v>
      </c>
      <c r="G38" s="29" t="s">
        <v>62</v>
      </c>
      <c r="H38" s="28">
        <v>2179.91</v>
      </c>
      <c r="I38" s="32">
        <f t="shared" si="2"/>
        <v>2178.91</v>
      </c>
      <c r="J38" s="32">
        <f t="shared" si="3"/>
        <v>103.69461538461519</v>
      </c>
      <c r="K38" s="32">
        <f t="shared" si="4"/>
        <v>10752.573259763274</v>
      </c>
    </row>
    <row r="39" spans="1:15" ht="29.25" customHeight="1" x14ac:dyDescent="0.25">
      <c r="A39" s="29" t="s">
        <v>60</v>
      </c>
      <c r="B39" s="28">
        <v>1401.79</v>
      </c>
      <c r="C39" s="32">
        <f t="shared" si="0"/>
        <v>1400.79</v>
      </c>
      <c r="D39" s="32">
        <f>B39-C48</f>
        <v>-34.515476190476193</v>
      </c>
      <c r="E39" s="32">
        <f t="shared" si="1"/>
        <v>1191.3180966553289</v>
      </c>
      <c r="G39" s="29" t="s">
        <v>63</v>
      </c>
      <c r="H39" s="28">
        <v>2204.48</v>
      </c>
      <c r="I39" s="32">
        <f t="shared" si="2"/>
        <v>2203.48</v>
      </c>
      <c r="J39" s="32">
        <f t="shared" si="3"/>
        <v>128.26461538461535</v>
      </c>
      <c r="K39" s="32">
        <f t="shared" si="4"/>
        <v>16451.811559763304</v>
      </c>
    </row>
    <row r="40" spans="1:15" ht="29.25" customHeight="1" x14ac:dyDescent="0.25">
      <c r="A40" s="29" t="s">
        <v>61</v>
      </c>
      <c r="B40" s="28">
        <v>1405.92</v>
      </c>
      <c r="C40" s="32">
        <f t="shared" si="0"/>
        <v>1404.92</v>
      </c>
      <c r="D40" s="32">
        <f>B40-C48</f>
        <v>-30.385476190476084</v>
      </c>
      <c r="E40" s="32">
        <f t="shared" si="1"/>
        <v>923.27716332198895</v>
      </c>
      <c r="G40" s="29" t="s">
        <v>64</v>
      </c>
      <c r="H40" s="28">
        <v>2209.1799999999998</v>
      </c>
      <c r="I40" s="32">
        <f t="shared" si="2"/>
        <v>2208.1799999999998</v>
      </c>
      <c r="J40" s="32">
        <f t="shared" si="3"/>
        <v>132.96461538461517</v>
      </c>
      <c r="K40" s="32">
        <f t="shared" si="4"/>
        <v>17679.58894437864</v>
      </c>
    </row>
    <row r="41" spans="1:15" ht="29.25" customHeight="1" x14ac:dyDescent="0.25">
      <c r="A41" s="29" t="s">
        <v>62</v>
      </c>
      <c r="B41" s="28">
        <v>1418.87</v>
      </c>
      <c r="C41" s="32">
        <f t="shared" si="0"/>
        <v>1417.87</v>
      </c>
      <c r="D41" s="32">
        <f>B41-C48</f>
        <v>-17.435476190476265</v>
      </c>
      <c r="E41" s="32">
        <f t="shared" si="1"/>
        <v>303.99582998866475</v>
      </c>
      <c r="G41" s="29" t="s">
        <v>65</v>
      </c>
      <c r="H41" s="28">
        <v>2211.0500000000002</v>
      </c>
      <c r="I41" s="32"/>
      <c r="J41" s="32">
        <f t="shared" si="3"/>
        <v>134.83461538461552</v>
      </c>
      <c r="K41" s="32">
        <f t="shared" si="4"/>
        <v>18180.373505917196</v>
      </c>
    </row>
    <row r="42" spans="1:15" ht="29.25" customHeight="1" x14ac:dyDescent="0.25">
      <c r="A42" s="29" t="s">
        <v>63</v>
      </c>
      <c r="B42" s="28">
        <v>1410.69</v>
      </c>
      <c r="C42" s="32">
        <f t="shared" si="0"/>
        <v>1409.69</v>
      </c>
      <c r="D42" s="32">
        <f>B42-C48</f>
        <v>-25.615476190476102</v>
      </c>
      <c r="E42" s="32">
        <f t="shared" si="1"/>
        <v>656.15262046484804</v>
      </c>
      <c r="H42" s="33"/>
      <c r="I42" s="33"/>
      <c r="J42" s="33"/>
      <c r="K42" s="34">
        <f>SUM(K3:K41)</f>
        <v>154832.01016923078</v>
      </c>
      <c r="O42" s="31"/>
    </row>
    <row r="43" spans="1:15" ht="29.25" customHeight="1" x14ac:dyDescent="0.25">
      <c r="A43" s="29" t="s">
        <v>64</v>
      </c>
      <c r="B43" s="28">
        <v>1366.92</v>
      </c>
      <c r="C43" s="32">
        <f t="shared" si="0"/>
        <v>1365.92</v>
      </c>
      <c r="D43" s="32">
        <f>B43-C48</f>
        <v>-69.385476190476084</v>
      </c>
      <c r="E43" s="32">
        <f t="shared" si="1"/>
        <v>4814.3443061791231</v>
      </c>
    </row>
    <row r="44" spans="1:15" ht="29.25" customHeight="1" x14ac:dyDescent="0.25">
      <c r="A44" s="29" t="s">
        <v>65</v>
      </c>
      <c r="B44" s="28">
        <v>1361.5</v>
      </c>
      <c r="C44" s="32"/>
      <c r="D44" s="32">
        <f>B44-C48</f>
        <v>-74.805476190476156</v>
      </c>
      <c r="E44" s="32">
        <f t="shared" si="1"/>
        <v>5595.8592680838947</v>
      </c>
    </row>
    <row r="45" spans="1:15" ht="29.25" customHeight="1" x14ac:dyDescent="0.25">
      <c r="B45" s="33"/>
      <c r="C45" s="33"/>
      <c r="D45" s="33"/>
      <c r="E45" s="34">
        <f>SUM(E3:E44)</f>
        <v>112675.43324047617</v>
      </c>
    </row>
    <row r="46" spans="1:15" ht="29.25" customHeight="1" x14ac:dyDescent="0.25">
      <c r="B46" s="33"/>
      <c r="C46" s="33"/>
      <c r="D46" s="33"/>
    </row>
    <row r="47" spans="1:15" ht="29.25" customHeight="1" x14ac:dyDescent="0.25">
      <c r="B47" s="33"/>
      <c r="C47" s="33"/>
      <c r="D47" s="33"/>
      <c r="E47" s="33"/>
    </row>
    <row r="48" spans="1:15" ht="29.25" customHeight="1" x14ac:dyDescent="0.25">
      <c r="B48" s="35" t="s">
        <v>88</v>
      </c>
      <c r="C48" s="36">
        <f>SUM(B3:B44)/42</f>
        <v>1436.3054761904762</v>
      </c>
      <c r="D48" s="33"/>
      <c r="E48" s="33"/>
      <c r="H48" s="35" t="s">
        <v>88</v>
      </c>
      <c r="I48" s="36">
        <f>SUM(H3:H41)/39</f>
        <v>2076.2153846153847</v>
      </c>
    </row>
    <row r="49" spans="2:9" ht="29.25" customHeight="1" x14ac:dyDescent="0.25">
      <c r="B49" s="35" t="s">
        <v>89</v>
      </c>
      <c r="C49" s="36">
        <f>E45/(42-1)</f>
        <v>2748.1812985481993</v>
      </c>
      <c r="D49" s="33"/>
      <c r="E49" s="33"/>
      <c r="H49" s="35" t="s">
        <v>89</v>
      </c>
      <c r="I49" s="36">
        <f>K42/(39-1)</f>
        <v>4074.5265834008101</v>
      </c>
    </row>
    <row r="50" spans="2:9" ht="29.25" customHeight="1" x14ac:dyDescent="0.25">
      <c r="B50" s="35" t="s">
        <v>90</v>
      </c>
      <c r="C50" s="36">
        <f>SQRT(C49)</f>
        <v>52.423098902565833</v>
      </c>
      <c r="D50" s="33"/>
      <c r="E50" s="33"/>
      <c r="H50" s="35" t="s">
        <v>90</v>
      </c>
      <c r="I50" s="36">
        <f>SQRT(I49)</f>
        <v>63.832018481329648</v>
      </c>
    </row>
    <row r="51" spans="2:9" ht="29.25" customHeight="1" x14ac:dyDescent="0.25">
      <c r="B51" s="35" t="s">
        <v>91</v>
      </c>
      <c r="C51" s="36">
        <f>_xlfn.STDEV.S(B3:B44)</f>
        <v>52.423098902565833</v>
      </c>
      <c r="D51" s="33"/>
      <c r="E51" s="33"/>
      <c r="H51" s="35" t="s">
        <v>91</v>
      </c>
      <c r="I51" s="36">
        <f>_xlfn.STDEV.S(H3:H41)</f>
        <v>63.832018481329648</v>
      </c>
    </row>
    <row r="52" spans="2:9" ht="29.25" customHeight="1" x14ac:dyDescent="0.25">
      <c r="B52" s="35" t="s">
        <v>92</v>
      </c>
      <c r="C52" s="36">
        <f>(C50/C48)*100</f>
        <v>3.6498572045835274</v>
      </c>
      <c r="D52" s="33"/>
      <c r="E52" s="33"/>
      <c r="H52" s="35" t="s">
        <v>92</v>
      </c>
      <c r="I52" s="36">
        <f>(I51/I48)*100</f>
        <v>3.0744410697618645</v>
      </c>
    </row>
    <row r="53" spans="2:9" ht="29.25" customHeight="1" x14ac:dyDescent="0.25">
      <c r="C53" s="33"/>
      <c r="D53" s="33"/>
      <c r="E53" s="33"/>
    </row>
  </sheetData>
  <mergeCells count="2">
    <mergeCell ref="A1:E1"/>
    <mergeCell ref="G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RATIOS</vt:lpstr>
      <vt:lpstr>ANALYSIS</vt:lpstr>
      <vt:lpstr>S.D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Laiba Farid</dc:creator>
  <cp:lastModifiedBy>Laiba Farid</cp:lastModifiedBy>
  <dcterms:created xsi:type="dcterms:W3CDTF">2015-06-05T18:17:20Z</dcterms:created>
  <dcterms:modified xsi:type="dcterms:W3CDTF">2025-12-05T16:12:57Z</dcterms:modified>
</cp:coreProperties>
</file>